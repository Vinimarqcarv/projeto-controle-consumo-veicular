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srembalagens-my.sharepoint.com/personal/vscarvalho_barreflex_com_br/Documents/Área de Trabalho/Atalhos/pessoal/power bi/Projeto pessoal/"/>
    </mc:Choice>
  </mc:AlternateContent>
  <xr:revisionPtr revIDLastSave="1167" documentId="8_{ABB456E4-66D3-4365-B240-95A6F7F3FE46}" xr6:coauthVersionLast="47" xr6:coauthVersionMax="47" xr10:uidLastSave="{24A66BD4-7135-4397-9508-6FFC76487EF1}"/>
  <bookViews>
    <workbookView xWindow="28680" yWindow="-120" windowWidth="20730" windowHeight="11040" xr2:uid="{47A2A54E-6315-4D73-8F08-675181808AE2}"/>
  </bookViews>
  <sheets>
    <sheet name="Abastecimentos" sheetId="1" r:id="rId1"/>
    <sheet name="Auxiliares" sheetId="2" r:id="rId2"/>
  </sheets>
  <definedNames>
    <definedName name="PeriodosDisponiveis">_xlfn.ANCHORARRAY(Auxiliares!#REF!)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4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/>
  <c r="M29" i="1" a="1"/>
  <c r="M29" i="1" s="1"/>
  <c r="M30" i="1" a="1"/>
  <c r="M30" i="1" s="1"/>
  <c r="M32" i="1" a="1"/>
  <c r="M32" i="1" s="1"/>
  <c r="M33" i="1" a="1"/>
  <c r="M33" i="1" s="1"/>
  <c r="M35" i="1" a="1"/>
  <c r="M35" i="1" s="1"/>
  <c r="M37" i="1" a="1"/>
  <c r="M37" i="1" s="1"/>
  <c r="M39" i="1" a="1"/>
  <c r="M39" i="1" s="1"/>
  <c r="M41" i="1" a="1"/>
  <c r="M41" i="1" s="1"/>
  <c r="M43" i="1" a="1"/>
  <c r="M43" i="1" s="1"/>
  <c r="M44" i="1" a="1"/>
  <c r="M44" i="1" s="1"/>
  <c r="M46" i="1" a="1"/>
  <c r="M46" i="1" s="1"/>
  <c r="M48" i="1" a="1"/>
  <c r="M48" i="1" s="1"/>
  <c r="M50" i="1" a="1"/>
  <c r="M50" i="1" s="1"/>
  <c r="M51" i="1" a="1"/>
  <c r="M51" i="1" s="1"/>
  <c r="M53" i="1" a="1"/>
  <c r="M53" i="1" s="1"/>
  <c r="M55" i="1" a="1"/>
  <c r="M55" i="1" s="1"/>
  <c r="M57" i="1" a="1"/>
  <c r="M57" i="1" s="1"/>
  <c r="M58" i="1" a="1"/>
  <c r="M58" i="1" s="1"/>
  <c r="M59" i="1" a="1"/>
  <c r="M59" i="1" s="1"/>
  <c r="M60" i="1" a="1"/>
  <c r="M60" i="1" s="1"/>
  <c r="M62" i="1" a="1"/>
  <c r="M62" i="1" s="1"/>
  <c r="M64" i="1" a="1"/>
  <c r="M64" i="1" s="1"/>
  <c r="M66" i="1" a="1"/>
  <c r="M66" i="1" s="1"/>
  <c r="M68" i="1" a="1"/>
  <c r="M68" i="1" s="1"/>
  <c r="M69" i="1" a="1"/>
  <c r="M69" i="1" s="1"/>
  <c r="M71" i="1" a="1"/>
  <c r="M71" i="1" s="1"/>
  <c r="M73" i="1" a="1"/>
  <c r="M73" i="1" s="1"/>
  <c r="M74" i="1" a="1"/>
  <c r="M74" i="1" s="1"/>
  <c r="M75" i="1" a="1"/>
  <c r="M75" i="1" s="1"/>
  <c r="M77" i="1" a="1"/>
  <c r="M77" i="1" s="1"/>
  <c r="M78" i="1" a="1"/>
  <c r="M78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L21" i="1"/>
  <c r="L22" i="1"/>
  <c r="L23" i="1"/>
  <c r="L24" i="1"/>
  <c r="L25" i="1"/>
  <c r="L26" i="1"/>
  <c r="L27" i="1"/>
  <c r="L28" i="1"/>
  <c r="L29" i="1"/>
  <c r="L30" i="1"/>
  <c r="L31" i="1"/>
  <c r="M31" i="1" s="1" a="1"/>
  <c r="M31" i="1" s="1"/>
  <c r="L32" i="1"/>
  <c r="L33" i="1"/>
  <c r="L34" i="1"/>
  <c r="M34" i="1" s="1" a="1"/>
  <c r="M34" i="1" s="1"/>
  <c r="L35" i="1"/>
  <c r="L36" i="1"/>
  <c r="M36" i="1" s="1" a="1"/>
  <c r="M36" i="1" s="1"/>
  <c r="L37" i="1"/>
  <c r="L38" i="1"/>
  <c r="M38" i="1" s="1" a="1"/>
  <c r="M38" i="1" s="1"/>
  <c r="L39" i="1"/>
  <c r="L40" i="1"/>
  <c r="K42" i="1" s="1" a="1"/>
  <c r="K42" i="1" s="1"/>
  <c r="L41" i="1"/>
  <c r="L42" i="1"/>
  <c r="M42" i="1" s="1" a="1"/>
  <c r="M42" i="1" s="1"/>
  <c r="L43" i="1"/>
  <c r="L44" i="1"/>
  <c r="L45" i="1"/>
  <c r="M45" i="1" s="1" a="1"/>
  <c r="M45" i="1" s="1"/>
  <c r="L46" i="1"/>
  <c r="L47" i="1"/>
  <c r="M47" i="1" s="1" a="1"/>
  <c r="M47" i="1" s="1"/>
  <c r="L48" i="1"/>
  <c r="L49" i="1"/>
  <c r="M49" i="1" s="1" a="1"/>
  <c r="M49" i="1" s="1"/>
  <c r="L50" i="1"/>
  <c r="L51" i="1"/>
  <c r="L52" i="1"/>
  <c r="M52" i="1" s="1" a="1"/>
  <c r="M52" i="1" s="1"/>
  <c r="L53" i="1"/>
  <c r="L54" i="1"/>
  <c r="M54" i="1" s="1" a="1"/>
  <c r="M54" i="1" s="1"/>
  <c r="L55" i="1"/>
  <c r="L56" i="1"/>
  <c r="K56" i="1" s="1" a="1"/>
  <c r="K56" i="1" s="1"/>
  <c r="L57" i="1"/>
  <c r="L58" i="1"/>
  <c r="L59" i="1"/>
  <c r="L60" i="1"/>
  <c r="L61" i="1"/>
  <c r="M61" i="1" s="1" a="1"/>
  <c r="M61" i="1" s="1"/>
  <c r="L62" i="1"/>
  <c r="L63" i="1"/>
  <c r="M63" i="1" s="1" a="1"/>
  <c r="M63" i="1" s="1"/>
  <c r="L64" i="1"/>
  <c r="L65" i="1"/>
  <c r="M65" i="1" s="1" a="1"/>
  <c r="M65" i="1" s="1"/>
  <c r="L66" i="1"/>
  <c r="L67" i="1"/>
  <c r="M67" i="1" s="1" a="1"/>
  <c r="M67" i="1" s="1"/>
  <c r="L68" i="1"/>
  <c r="L69" i="1"/>
  <c r="L70" i="1"/>
  <c r="M70" i="1" s="1" a="1"/>
  <c r="M70" i="1" s="1"/>
  <c r="L71" i="1"/>
  <c r="L72" i="1"/>
  <c r="K72" i="1" s="1" a="1"/>
  <c r="K72" i="1" s="1"/>
  <c r="L73" i="1"/>
  <c r="L74" i="1"/>
  <c r="L75" i="1"/>
  <c r="L76" i="1"/>
  <c r="M76" i="1" s="1" a="1"/>
  <c r="M76" i="1" s="1"/>
  <c r="L77" i="1"/>
  <c r="L78" i="1"/>
  <c r="L79" i="1"/>
  <c r="M79" i="1" s="1" a="1"/>
  <c r="M79" i="1" s="1"/>
  <c r="L80" i="1"/>
  <c r="L81" i="1"/>
  <c r="L82" i="1"/>
  <c r="L83" i="1"/>
  <c r="L84" i="1"/>
  <c r="L85" i="1"/>
  <c r="L86" i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1" i="1" a="1"/>
  <c r="K41" i="1" s="1"/>
  <c r="K43" i="1" a="1"/>
  <c r="K43" i="1" s="1"/>
  <c r="K44" i="1" a="1"/>
  <c r="K44" i="1"/>
  <c r="K46" i="1" a="1"/>
  <c r="K46" i="1" s="1"/>
  <c r="K47" i="1" a="1"/>
  <c r="K47" i="1" s="1"/>
  <c r="K48" i="1" a="1"/>
  <c r="K48" i="1" s="1"/>
  <c r="K50" i="1" a="1"/>
  <c r="K50" i="1" s="1"/>
  <c r="K51" i="1" a="1"/>
  <c r="K51" i="1" s="1"/>
  <c r="K53" i="1" a="1"/>
  <c r="K53" i="1" s="1"/>
  <c r="K55" i="1" a="1"/>
  <c r="K55" i="1" s="1"/>
  <c r="K57" i="1" a="1"/>
  <c r="K57" i="1" s="1"/>
  <c r="K59" i="1" a="1"/>
  <c r="K59" i="1" s="1"/>
  <c r="K60" i="1" a="1"/>
  <c r="K60" i="1" s="1"/>
  <c r="K62" i="1" a="1"/>
  <c r="K62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1" i="1" a="1"/>
  <c r="K71" i="1" s="1"/>
  <c r="K73" i="1" a="1"/>
  <c r="K73" i="1" s="1"/>
  <c r="K75" i="1" a="1"/>
  <c r="K75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/>
  <c r="K85" i="1" a="1"/>
  <c r="K85" i="1" s="1"/>
  <c r="K86" i="1" a="1"/>
  <c r="K86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M6" i="1" a="1"/>
  <c r="M6" i="1" s="1"/>
  <c r="M7" i="1" a="1"/>
  <c r="M7" i="1" s="1"/>
  <c r="M9" i="1" a="1"/>
  <c r="M9" i="1" s="1"/>
  <c r="M11" i="1" a="1"/>
  <c r="M11" i="1" s="1"/>
  <c r="M12" i="1" a="1"/>
  <c r="M12" i="1" s="1"/>
  <c r="M14" i="1" a="1"/>
  <c r="M14" i="1" s="1"/>
  <c r="M16" i="1" a="1"/>
  <c r="M16" i="1" s="1"/>
  <c r="M18" i="1" a="1"/>
  <c r="M18" i="1" s="1"/>
  <c r="M19" i="1" a="1"/>
  <c r="M19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5" i="1"/>
  <c r="K52" i="1" l="1" a="1"/>
  <c r="K52" i="1" s="1"/>
  <c r="K63" i="1" a="1"/>
  <c r="K63" i="1" s="1"/>
  <c r="K49" i="1" a="1"/>
  <c r="K49" i="1" s="1"/>
  <c r="M72" i="1" a="1"/>
  <c r="M72" i="1" s="1"/>
  <c r="M56" i="1" a="1"/>
  <c r="M56" i="1" s="1"/>
  <c r="M40" i="1" a="1"/>
  <c r="M40" i="1" s="1"/>
  <c r="K45" i="1" a="1"/>
  <c r="K45" i="1" s="1"/>
  <c r="K74" i="1" a="1"/>
  <c r="K74" i="1" s="1"/>
  <c r="K61" i="1" a="1"/>
  <c r="K61" i="1" s="1"/>
  <c r="K58" i="1" a="1"/>
  <c r="K58" i="1" s="1"/>
  <c r="K76" i="1" a="1"/>
  <c r="K76" i="1" s="1"/>
  <c r="K70" i="1" a="1"/>
  <c r="K70" i="1" s="1"/>
  <c r="K54" i="1" a="1"/>
  <c r="K54" i="1" s="1"/>
  <c r="K40" i="1" a="1"/>
  <c r="K40" i="1" s="1"/>
  <c r="M10" i="1" a="1"/>
  <c r="M10" i="1" s="1"/>
  <c r="L4" i="1"/>
  <c r="K5" i="1" l="1" a="1"/>
  <c r="K5" i="1" s="1"/>
  <c r="M15" i="1" a="1"/>
  <c r="M15" i="1" s="1"/>
  <c r="M13" i="1" a="1"/>
  <c r="M13" i="1" s="1"/>
  <c r="M20" i="1" a="1"/>
  <c r="M20" i="1" s="1"/>
  <c r="M17" i="1" a="1"/>
  <c r="M17" i="1" s="1"/>
  <c r="M8" i="1" a="1"/>
  <c r="M8" i="1" s="1"/>
  <c r="M5" i="1" a="1"/>
  <c r="M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<sst xmlns="http://schemas.openxmlformats.org/spreadsheetml/2006/main" count="249" uniqueCount="25">
  <si>
    <t>Data</t>
  </si>
  <si>
    <t>Posto</t>
  </si>
  <si>
    <t>Combustivel</t>
  </si>
  <si>
    <t>Litros</t>
  </si>
  <si>
    <t>Valor</t>
  </si>
  <si>
    <t>Km Atual</t>
  </si>
  <si>
    <t>🚗 CONTROLE DE COMBUSTÍVEL</t>
  </si>
  <si>
    <t>Gasolina</t>
  </si>
  <si>
    <t>Etanol</t>
  </si>
  <si>
    <t>Diesel</t>
  </si>
  <si>
    <t>GNV</t>
  </si>
  <si>
    <t>Preço/L</t>
  </si>
  <si>
    <t>Km Rodados</t>
  </si>
  <si>
    <t>Tanque Cheio?</t>
  </si>
  <si>
    <t>Km/L</t>
  </si>
  <si>
    <t>Sim</t>
  </si>
  <si>
    <t>Não</t>
  </si>
  <si>
    <t>Ciclo</t>
  </si>
  <si>
    <t>Custo/Km</t>
  </si>
  <si>
    <t>Posto Shell</t>
  </si>
  <si>
    <t>Posto Ipiranga</t>
  </si>
  <si>
    <t>Posto BR</t>
  </si>
  <si>
    <t>Posto Ale</t>
  </si>
  <si>
    <t>Posto Rod oil</t>
  </si>
  <si>
    <t>Posto GNV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</si>
</sst>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8" fontId="0" fillId="0" borderId="1" xfId="1" applyNumberFormat="1" applyFont="1" applyBorder="1" applyAlignment="1">
      <alignment horizontal="center" vertical="center"/>
    </xf>
    <xf numFmtId="8" fontId="0" fillId="0" borderId="1" xfId="1" applyNumberFormat="1" applyFont="1" applyFill="1" applyBorder="1" applyAlignment="1">
      <alignment horizontal="center" vertical="center"/>
    </xf>
    <xf numFmtId="8" fontId="0" fillId="0" borderId="4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A5A5A5"/>
      <color rgb="FF5B9BD5"/>
      <color rgb="FF1F4E79"/>
      <color rgb="FF2F75B5"/>
      <color rgb="FF1F2937"/>
      <color rgb="FF1F3079"/>
      <color rgb="FF6B7280"/>
      <color rgb="FFD1D5DB"/>
      <color rgb="FFFFFFFF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52A4F-460F-495F-98DA-9C4051989614}" name="Tabela1" displayName="Tabela1" ref="B3:M86" totalsRowShown="0" headerRowDxfId="16" dataDxfId="14" headerRowBorderDxfId="15" tableBorderDxfId="13" totalsRowBorderDxfId="12">
  <autoFilter ref="B3:M86" xr:uid="{7BF52A4F-460F-495F-98DA-9C4051989614}"/>
  <tableColumns count="12">
    <tableColumn id="1" xr3:uid="{A5AA248F-6693-4553-B836-9D5FD0C69DE6}" name="Data" dataDxfId="11"/>
    <tableColumn id="2" xr3:uid="{2A6D52A9-602F-40D3-AFEA-A58A6BEB0AD6}" name="Posto" dataDxfId="10"/>
    <tableColumn id="3" xr3:uid="{4A183C75-08B0-4EC1-A300-18280CB9ADDE}" name="Combustivel" dataDxfId="9"/>
    <tableColumn id="4" xr3:uid="{E24B209B-61B7-4736-B150-E379DA15EB00}" name="Litros" dataDxfId="8"/>
    <tableColumn id="5" xr3:uid="{AEAAD25D-5DF2-4CB0-9E19-89B3359085A9}" name="Valor" dataDxfId="7" dataCellStyle="Moeda"/>
    <tableColumn id="6" xr3:uid="{8771626A-1D56-43BE-863B-00B164F09533}" name="Km Atual" dataDxfId="6"/>
    <tableColumn id="7" xr3:uid="{D5685DCA-7384-42D1-BA50-D2156D8A31B3}" name="Preço/L" dataDxfId="5">
      <calculatedColumnFormula>IFERROR(Tabela1[[#This Row],[Valor]]/Tabela1[[#This Row],[Litros]],"")</calculatedColumnFormula>
    </tableColumn>
    <tableColumn id="8" xr3:uid="{56B1DA8C-8F25-4AE8-B93A-39DDC134C0B2}" name="Km Rodados" dataDxfId="4">
      <calculatedColumnFormula>IF(Tabela1[[#This Row],[Km Atual]]="","",IFERROR(Tabela1[[#This Row],[Km Atual]]-G3,""))</calculatedColumnFormula>
    </tableColumn>
    <tableColumn id="9" xr3:uid="{410E4E1A-38CB-4ADD-9481-DD14D184B252}" name="Tanque Cheio?" dataDxfId="3"/>
    <tableColumn id="10" xr3:uid="{9D99E3C9-EB69-46B6-B44D-0FE3976E9C1D}" name="Km/L" dataDxfId="2"/>
    <tableColumn id="11" xr3:uid="{6D901B95-C519-412D-8C4C-3A80F3F69C2A}" name="Ciclo" dataDxfId="1"/>
    <tableColumn id="12" xr3:uid="{8C271D6A-10A3-46F4-9DCF-69434DD3BBDA}" name="Custo/K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A9CCFF-0690-4F16-90C4-7AD635E25B42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X-GOO-0MPqyJfeq69jFY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247F-990F-48D5-990E-0311041E7D69}">
  <dimension ref="B2:M86"/>
  <sheetViews>
    <sheetView tabSelected="1" workbookViewId="0">
      <selection activeCell="H9" sqref="H9"/>
    </sheetView>
  </sheetViews>
  <sheetFormatPr defaultRowHeight="14.5" x14ac:dyDescent="0.35"/>
  <cols>
    <col min="2" max="2" width="10.08984375" bestFit="1" customWidth="1"/>
    <col min="3" max="3" width="23.26953125" bestFit="1" customWidth="1"/>
    <col min="4" max="4" width="16.453125" bestFit="1" customWidth="1"/>
    <col min="5" max="5" width="10.36328125" bestFit="1" customWidth="1"/>
    <col min="6" max="6" width="10.08984375" bestFit="1" customWidth="1"/>
    <col min="7" max="7" width="12.90625" bestFit="1" customWidth="1"/>
    <col min="8" max="8" width="12" bestFit="1" customWidth="1"/>
    <col min="9" max="9" width="16.08984375" bestFit="1" customWidth="1"/>
    <col min="10" max="10" width="18.36328125" bestFit="1" customWidth="1"/>
    <col min="11" max="11" width="10.6328125" bestFit="1" customWidth="1"/>
    <col min="12" max="12" width="11" bestFit="1" customWidth="1"/>
    <col min="13" max="13" width="14" bestFit="1" customWidth="1"/>
  </cols>
  <sheetData>
    <row r="2" spans="2:13" x14ac:dyDescent="0.35">
      <c r="B2" s="23" t="s">
        <v>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2:13" x14ac:dyDescent="0.35">
      <c r="B3" s="9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17</v>
      </c>
      <c r="M3" s="8" t="s">
        <v>18</v>
      </c>
    </row>
    <row r="4" spans="2:13" x14ac:dyDescent="0.35">
      <c r="B4" s="10">
        <v>46040</v>
      </c>
      <c r="C4" s="3" t="s">
        <v>19</v>
      </c>
      <c r="D4" s="2" t="s">
        <v>8</v>
      </c>
      <c r="E4" s="4">
        <v>42</v>
      </c>
      <c r="F4" s="20">
        <v>163.80000000000001</v>
      </c>
      <c r="G4" s="6">
        <v>45000</v>
      </c>
      <c r="H4" s="7">
        <f>IFERROR(Tabela1[[#This Row],[Valor]]/Tabela1[[#This Row],[Litros]],"")</f>
        <v>3.9000000000000004</v>
      </c>
      <c r="I4" s="2" t="str">
        <f>IF(Tabela1[[#This Row],[Km Atual]]="","",IFERROR(Tabela1[[#This Row],[Km Atual]]-G3,""))</f>
        <v/>
      </c>
      <c r="J4" s="2" t="s">
        <v>15</v>
      </c>
      <c r="K4" s="4"/>
      <c r="L4" s="2">
        <f>IF(G4="","",IF(J4="Sim",1,""))</f>
        <v>1</v>
      </c>
      <c r="M4" s="12"/>
    </row>
    <row r="5" spans="2:13" x14ac:dyDescent="0.35">
      <c r="B5" s="10">
        <v>46055</v>
      </c>
      <c r="C5" s="3" t="s">
        <v>19</v>
      </c>
      <c r="D5" s="2" t="s">
        <v>8</v>
      </c>
      <c r="E5" s="4">
        <v>40.5</v>
      </c>
      <c r="F5" s="20">
        <v>157.94999999999999</v>
      </c>
      <c r="G5" s="6">
        <v>45410</v>
      </c>
      <c r="H5" s="7">
        <f>IFERROR(Tabela1[[#This Row],[Valor]]/Tabela1[[#This Row],[Litros]],"")</f>
        <v>3.9</v>
      </c>
      <c r="I5" s="2">
        <f>IF(Tabela1[[#This Row],[Km Atual]]="","",IFERROR(Tabela1[[#This Row],[Km Atual]]-G4,""))</f>
        <v>410</v>
      </c>
      <c r="J5" s="2" t="s">
        <v>15</v>
      </c>
      <c r="K5" s="4" cm="1">
        <f t="array" ref="K5">IF(J5&lt;&gt;"Sim","",IF(MOD(COUNTIF($J$4:J5,"Sim"),2)&lt;&gt;0,"",IF(COUNTIFS($L$4:L5,L5,$D$4:D5,"&lt;&gt;"&amp;D5)&gt;0,"",IFERROR((G5-_xlfn.XLOOKUP(L5,$L$4:L5,$G$4:G5,"",0,1))/(SUMIFS($E$4:E5,$L$4:L5,L5)-_xlfn.XLOOKUP(L5,$L$4:L5,$E$4:E5,"",0,1)),""))))</f>
        <v>10.123456790123457</v>
      </c>
      <c r="L5" s="2">
        <f>IF(G5="","",IF(J5="Sim",INT((COUNTIF($J$4:J5,"Sim")-1)/2)+1,INT(COUNTIF($J$4:J4,"Sim")/2)+1))</f>
        <v>1</v>
      </c>
      <c r="M5" s="12" cm="1">
        <f t="array" ref="M5">IF(J5&lt;&gt;"Sim","",IF(MOD(COUNTIF($J$4:J5,"Sim"),2)&lt;&gt;0,"",IFERROR((SUMIFS($F$4:F5,$L$4:L5,L5)-_xlfn.XLOOKUP(L5,$L$4:L5,$F$4:F5,"",0,1))/(G5-_xlfn.XLOOKUP(L5,$L$4:L5,$G$4:G5,"",0,1)),"")))</f>
        <v>0.38524390243902434</v>
      </c>
    </row>
    <row r="6" spans="2:13" x14ac:dyDescent="0.35">
      <c r="B6" s="10">
        <v>46068</v>
      </c>
      <c r="C6" s="3" t="s">
        <v>20</v>
      </c>
      <c r="D6" s="2" t="s">
        <v>7</v>
      </c>
      <c r="E6" s="4">
        <v>15</v>
      </c>
      <c r="F6" s="20">
        <v>86.85</v>
      </c>
      <c r="G6" s="6">
        <v>45580</v>
      </c>
      <c r="H6" s="7">
        <f>IFERROR(Tabela1[[#This Row],[Valor]]/Tabela1[[#This Row],[Litros]],"")</f>
        <v>5.79</v>
      </c>
      <c r="I6" s="2">
        <f>IF(Tabela1[[#This Row],[Km Atual]]="","",IFERROR(Tabela1[[#This Row],[Km Atual]]-G5,""))</f>
        <v>170</v>
      </c>
      <c r="J6" s="2" t="s">
        <v>16</v>
      </c>
      <c r="K6" s="4" t="str" cm="1">
        <f t="array" ref="K6">IF(J6&lt;&gt;"Sim","",IF(MOD(COUNTIF($J$4:J6,"Sim"),2)&lt;&gt;0,"",IF(COUNTIFS($L$4:L6,L6,$D$4:D6,"&lt;&gt;"&amp;D6)&gt;0,"",IFERROR((G6-_xlfn.XLOOKUP(L6,$L$4:L6,$G$4:G6,"",0,1))/(SUMIFS($E$4:E6,$L$4:L6,L6)-_xlfn.XLOOKUP(L6,$L$4:L6,$E$4:E6,"",0,1)),""))))</f>
        <v/>
      </c>
      <c r="L6" s="2">
        <f>IF(G6="","",IF(J6="Sim",INT((COUNTIF($J$4:J6,"Sim")-1)/2)+1,INT(COUNTIF($J$4:J5,"Sim")/2)+1))</f>
        <v>2</v>
      </c>
      <c r="M6" s="12" t="str" cm="1">
        <f t="array" ref="M6">IF(J6&lt;&gt;"Sim","",IF(MOD(COUNTIF($J$4:J6,"Sim"),2)&lt;&gt;0,"",IFERROR((SUMIFS($F$4:F6,$L$4:L6,L6)-_xlfn.XLOOKUP(L6,$L$4:L6,$F$4:F6,"",0,1))/(G6-_xlfn.XLOOKUP(L6,$L$4:L6,$G$4:G6,"",0,1)),"")))</f>
        <v/>
      </c>
    </row>
    <row r="7" spans="2:13" x14ac:dyDescent="0.35">
      <c r="B7" s="10">
        <v>46082</v>
      </c>
      <c r="C7" s="3" t="s">
        <v>19</v>
      </c>
      <c r="D7" s="2" t="s">
        <v>8</v>
      </c>
      <c r="E7" s="4">
        <v>41</v>
      </c>
      <c r="F7" s="21">
        <v>159.9</v>
      </c>
      <c r="G7" s="6">
        <v>45920</v>
      </c>
      <c r="H7" s="7">
        <f>IFERROR(Tabela1[[#This Row],[Valor]]/Tabela1[[#This Row],[Litros]],"")</f>
        <v>3.9000000000000004</v>
      </c>
      <c r="I7" s="2">
        <f>IF(Tabela1[[#This Row],[Km Atual]]="","",IFERROR(Tabela1[[#This Row],[Km Atual]]-G6,""))</f>
        <v>340</v>
      </c>
      <c r="J7" s="2" t="s">
        <v>15</v>
      </c>
      <c r="K7" s="4" t="str" cm="1">
        <f t="array" ref="K7">IF(J7&lt;&gt;"Sim","",IF(MOD(COUNTIF($J$4:J7,"Sim"),2)&lt;&gt;0,"",IF(COUNTIFS($L$4:L7,L7,$D$4:D7,"&lt;&gt;"&amp;D7)&gt;0,"",IFERROR((G7-_xlfn.XLOOKUP(L7,$L$4:L7,$G$4:G7,"",0,1))/(SUMIFS($E$4:E7,$L$4:L7,L7)-_xlfn.XLOOKUP(L7,$L$4:L7,$E$4:E7,"",0,1)),""))))</f>
        <v/>
      </c>
      <c r="L7" s="2">
        <f>IF(G7="","",IF(J7="Sim",INT((COUNTIF($J$4:J7,"Sim")-1)/2)+1,INT(COUNTIF($J$4:J6,"Sim")/2)+1))</f>
        <v>2</v>
      </c>
      <c r="M7" s="12" t="str" cm="1">
        <f t="array" ref="M7">IF(J7&lt;&gt;"Sim","",IF(MOD(COUNTIF($J$4:J7,"Sim"),2)&lt;&gt;0,"",IFERROR((SUMIFS($F$4:F7,$L$4:L7,L7)-_xlfn.XLOOKUP(L7,$L$4:L7,$F$4:F7,"",0,1))/(G7-_xlfn.XLOOKUP(L7,$L$4:L7,$G$4:G7,"",0,1)),"")))</f>
        <v/>
      </c>
    </row>
    <row r="8" spans="2:13" x14ac:dyDescent="0.35">
      <c r="B8" s="10">
        <v>46097</v>
      </c>
      <c r="C8" s="3" t="s">
        <v>21</v>
      </c>
      <c r="D8" s="2" t="s">
        <v>8</v>
      </c>
      <c r="E8" s="4">
        <v>43</v>
      </c>
      <c r="F8" s="21">
        <v>167.7</v>
      </c>
      <c r="G8" s="6">
        <v>46350</v>
      </c>
      <c r="H8" s="7">
        <f>IFERROR(Tabela1[[#This Row],[Valor]]/Tabela1[[#This Row],[Litros]],"")</f>
        <v>3.9</v>
      </c>
      <c r="I8" s="2">
        <f>IF(Tabela1[[#This Row],[Km Atual]]="","",IFERROR(Tabela1[[#This Row],[Km Atual]]-G7,""))</f>
        <v>430</v>
      </c>
      <c r="J8" s="2" t="s">
        <v>15</v>
      </c>
      <c r="K8" s="4" t="str" cm="1">
        <f t="array" ref="K8">IF(J8&lt;&gt;"Sim","",IF(MOD(COUNTIF($J$4:J8,"Sim"),2)&lt;&gt;0,"",IF(COUNTIFS($L$4:L8,L8,$D$4:D8,"&lt;&gt;"&amp;D8)&gt;0,"",IFERROR((G8-_xlfn.XLOOKUP(L8,$L$4:L8,$G$4:G8,"",0,1))/(SUMIFS($E$4:E8,$L$4:L8,L8)-_xlfn.XLOOKUP(L8,$L$4:L8,$E$4:E8,"",0,1)),""))))</f>
        <v/>
      </c>
      <c r="L8" s="2">
        <f>IF(G8="","",IF(J8="Sim",INT((COUNTIF($J$4:J8,"Sim")-1)/2)+1,INT(COUNTIF($J$4:J7,"Sim")/2)+1))</f>
        <v>2</v>
      </c>
      <c r="M8" s="12" cm="1">
        <f t="array" ref="M8">IF(J8&lt;&gt;"Sim","",IF(MOD(COUNTIF($J$4:J8,"Sim"),2)&lt;&gt;0,"",IFERROR((SUMIFS($F$4:F8,$L$4:L8,L8)-_xlfn.XLOOKUP(L8,$L$4:L8,$F$4:F8,"",0,1))/(G8-_xlfn.XLOOKUP(L8,$L$4:L8,$G$4:G8,"",0,1)),"")))</f>
        <v>0.42545454545454547</v>
      </c>
    </row>
    <row r="9" spans="2:13" x14ac:dyDescent="0.35">
      <c r="B9" s="10">
        <v>46117</v>
      </c>
      <c r="C9" s="3" t="s">
        <v>21</v>
      </c>
      <c r="D9" s="2" t="s">
        <v>8</v>
      </c>
      <c r="E9" s="4">
        <v>39.5</v>
      </c>
      <c r="F9" s="21">
        <v>154.05000000000001</v>
      </c>
      <c r="G9" s="6">
        <v>46750</v>
      </c>
      <c r="H9" s="7">
        <f>IFERROR(Tabela1[[#This Row],[Valor]]/Tabela1[[#This Row],[Litros]],"")</f>
        <v>3.9000000000000004</v>
      </c>
      <c r="I9" s="2">
        <f>IF(Tabela1[[#This Row],[Km Atual]]="","",IFERROR(Tabela1[[#This Row],[Km Atual]]-G8,""))</f>
        <v>400</v>
      </c>
      <c r="J9" s="2" t="s">
        <v>15</v>
      </c>
      <c r="K9" s="4" t="str" cm="1">
        <f t="array" ref="K9">IF(J9&lt;&gt;"Sim","",IF(MOD(COUNTIF($J$4:J9,"Sim"),2)&lt;&gt;0,"",IF(COUNTIFS($L$4:L9,L9,$D$4:D9,"&lt;&gt;"&amp;D9)&gt;0,"",IFERROR((G9-_xlfn.XLOOKUP(L9,$L$4:L9,$G$4:G9,"",0,1))/(SUMIFS($E$4:E9,$L$4:L9,L9)-_xlfn.XLOOKUP(L9,$L$4:L9,$E$4:E9,"",0,1)),""))))</f>
        <v/>
      </c>
      <c r="L9" s="2">
        <f>IF(G9="","",IF(J9="Sim",INT((COUNTIF($J$4:J9,"Sim")-1)/2)+1,INT(COUNTIF($J$4:J8,"Sim")/2)+1))</f>
        <v>3</v>
      </c>
      <c r="M9" s="12" t="str" cm="1">
        <f t="array" ref="M9">IF(J9&lt;&gt;"Sim","",IF(MOD(COUNTIF($J$4:J9,"Sim"),2)&lt;&gt;0,"",IFERROR((SUMIFS($F$4:F9,$L$4:L9,L9)-_xlfn.XLOOKUP(L9,$L$4:L9,$F$4:F9,"",0,1))/(G9-_xlfn.XLOOKUP(L9,$L$4:L9,$G$4:G9,"",0,1)),"")))</f>
        <v/>
      </c>
    </row>
    <row r="10" spans="2:13" x14ac:dyDescent="0.35">
      <c r="B10" s="13">
        <v>46132</v>
      </c>
      <c r="C10" s="3" t="s">
        <v>19</v>
      </c>
      <c r="D10" s="2" t="s">
        <v>7</v>
      </c>
      <c r="E10" s="4">
        <v>40</v>
      </c>
      <c r="F10" s="21">
        <v>231.6</v>
      </c>
      <c r="G10" s="6">
        <v>47230</v>
      </c>
      <c r="H10" s="7">
        <f>IFERROR(Tabela1[[#This Row],[Valor]]/Tabela1[[#This Row],[Litros]],"")</f>
        <v>5.79</v>
      </c>
      <c r="I10" s="2">
        <f>IF(Tabela1[[#This Row],[Km Atual]]="","",IFERROR(Tabela1[[#This Row],[Km Atual]]-G9,""))</f>
        <v>480</v>
      </c>
      <c r="J10" s="2" t="s">
        <v>15</v>
      </c>
      <c r="K10" s="4" t="str" cm="1">
        <f t="array" ref="K10">IF(J10&lt;&gt;"Sim","",IF(MOD(COUNTIF($J$4:J10,"Sim"),2)&lt;&gt;0,"",IF(COUNTIFS($L$4:L10,L10,$D$4:D10,"&lt;&gt;"&amp;D10)&gt;0,"",IFERROR((G10-_xlfn.XLOOKUP(L10,$L$4:L10,$G$4:G10,"",0,1))/(SUMIFS($E$4:E10,$L$4:L10,L10)-_xlfn.XLOOKUP(L10,$L$4:L10,$E$4:E10,"",0,1)),""))))</f>
        <v/>
      </c>
      <c r="L10" s="2">
        <f>IF(G10="","",IF(J10="Sim",INT((COUNTIF($J$4:J10,"Sim")-1)/2)+1,INT(COUNTIF($J$4:J9,"Sim")/2)+1))</f>
        <v>3</v>
      </c>
      <c r="M10" s="12" cm="1">
        <f t="array" ref="M10">IF(J10&lt;&gt;"Sim","",IF(MOD(COUNTIF($J$4:J10,"Sim"),2)&lt;&gt;0,"",IFERROR((SUMIFS($F$4:F10,$L$4:L10,L10)-_xlfn.XLOOKUP(L10,$L$4:L10,$F$4:F10,"",0,1))/(G10-_xlfn.XLOOKUP(L10,$L$4:L10,$G$4:G10,"",0,1)),"")))</f>
        <v>0.48249999999999993</v>
      </c>
    </row>
    <row r="11" spans="2:13" x14ac:dyDescent="0.35">
      <c r="B11" s="10">
        <v>46146</v>
      </c>
      <c r="C11" s="3" t="s">
        <v>19</v>
      </c>
      <c r="D11" s="2" t="s">
        <v>7</v>
      </c>
      <c r="E11" s="4">
        <v>42</v>
      </c>
      <c r="F11" s="21">
        <v>243.18</v>
      </c>
      <c r="G11" s="6">
        <v>47734</v>
      </c>
      <c r="H11" s="7">
        <f>IFERROR(Tabela1[[#This Row],[Valor]]/Tabela1[[#This Row],[Litros]],"")</f>
        <v>5.79</v>
      </c>
      <c r="I11" s="2">
        <f>IF(Tabela1[[#This Row],[Km Atual]]="","",IFERROR(Tabela1[[#This Row],[Km Atual]]-G10,""))</f>
        <v>504</v>
      </c>
      <c r="J11" s="2" t="s">
        <v>15</v>
      </c>
      <c r="K11" s="4" t="str" cm="1">
        <f t="array" ref="K11">IF(J11&lt;&gt;"Sim","",IF(MOD(COUNTIF($J$4:J11,"Sim"),2)&lt;&gt;0,"",IF(COUNTIFS($L$4:L11,L11,$D$4:D11,"&lt;&gt;"&amp;D11)&gt;0,"",IFERROR((G11-_xlfn.XLOOKUP(L11,$L$4:L11,$G$4:G11,"",0,1))/(SUMIFS($E$4:E11,$L$4:L11,L11)-_xlfn.XLOOKUP(L11,$L$4:L11,$E$4:E11,"",0,1)),""))))</f>
        <v/>
      </c>
      <c r="L11" s="2">
        <f>IF(G11="","",IF(J11="Sim",INT((COUNTIF($J$4:J11,"Sim")-1)/2)+1,INT(COUNTIF($J$4:J10,"Sim")/2)+1))</f>
        <v>4</v>
      </c>
      <c r="M11" s="12" t="str" cm="1">
        <f t="array" ref="M11">IF(J11&lt;&gt;"Sim","",IF(MOD(COUNTIF($J$4:J11,"Sim"),2)&lt;&gt;0,"",IFERROR((SUMIFS($F$4:F11,$L$4:L11,L11)-_xlfn.XLOOKUP(L11,$L$4:L11,$F$4:F11,"",0,1))/(G11-_xlfn.XLOOKUP(L11,$L$4:L11,$G$4:G11,"",0,1)),"")))</f>
        <v/>
      </c>
    </row>
    <row r="12" spans="2:13" x14ac:dyDescent="0.35">
      <c r="B12" s="10">
        <v>46160</v>
      </c>
      <c r="C12" s="3" t="s">
        <v>22</v>
      </c>
      <c r="D12" s="2" t="s">
        <v>7</v>
      </c>
      <c r="E12" s="4">
        <v>10</v>
      </c>
      <c r="F12" s="21">
        <v>57.9</v>
      </c>
      <c r="G12" s="6">
        <v>47850</v>
      </c>
      <c r="H12" s="7">
        <f>IFERROR(Tabela1[[#This Row],[Valor]]/Tabela1[[#This Row],[Litros]],"")</f>
        <v>5.79</v>
      </c>
      <c r="I12" s="2">
        <f>IF(Tabela1[[#This Row],[Km Atual]]="","",IFERROR(Tabela1[[#This Row],[Km Atual]]-G11,""))</f>
        <v>116</v>
      </c>
      <c r="J12" s="2" t="s">
        <v>16</v>
      </c>
      <c r="K12" s="4" t="str" cm="1">
        <f t="array" ref="K12">IF(J12&lt;&gt;"Sim","",IF(MOD(COUNTIF($J$4:J12,"Sim"),2)&lt;&gt;0,"",IF(COUNTIFS($L$4:L12,L12,$D$4:D12,"&lt;&gt;"&amp;D12)&gt;0,"",IFERROR((G12-_xlfn.XLOOKUP(L12,$L$4:L12,$G$4:G12,"",0,1))/(SUMIFS($E$4:E12,$L$4:L12,L12)-_xlfn.XLOOKUP(L12,$L$4:L12,$E$4:E12,"",0,1)),""))))</f>
        <v/>
      </c>
      <c r="L12" s="2">
        <f>IF(G12="","",IF(J12="Sim",INT((COUNTIF($J$4:J12,"Sim")-1)/2)+1,INT(COUNTIF($J$4:J11,"Sim")/2)+1))</f>
        <v>4</v>
      </c>
      <c r="M12" s="12" t="str" cm="1">
        <f t="array" ref="M12">IF(J12&lt;&gt;"Sim","",IF(MOD(COUNTIF($J$4:J12,"Sim"),2)&lt;&gt;0,"",IFERROR((SUMIFS($F$4:F12,$L$4:L12,L12)-_xlfn.XLOOKUP(L12,$L$4:L12,$F$4:F12,"",0,1))/(G12-_xlfn.XLOOKUP(L12,$L$4:L12,$G$4:G12,"",0,1)),"")))</f>
        <v/>
      </c>
    </row>
    <row r="13" spans="2:13" x14ac:dyDescent="0.35">
      <c r="B13" s="10">
        <v>46174</v>
      </c>
      <c r="C13" s="3" t="s">
        <v>21</v>
      </c>
      <c r="D13" s="2" t="s">
        <v>8</v>
      </c>
      <c r="E13" s="4">
        <v>41.5</v>
      </c>
      <c r="F13" s="21">
        <v>161.85</v>
      </c>
      <c r="G13" s="6">
        <v>48210</v>
      </c>
      <c r="H13" s="7">
        <f>IFERROR(Tabela1[[#This Row],[Valor]]/Tabela1[[#This Row],[Litros]],"")</f>
        <v>3.9</v>
      </c>
      <c r="I13" s="2">
        <f>IF(Tabela1[[#This Row],[Km Atual]]="","",IFERROR(Tabela1[[#This Row],[Km Atual]]-G12,""))</f>
        <v>360</v>
      </c>
      <c r="J13" s="2" t="s">
        <v>15</v>
      </c>
      <c r="K13" s="4" t="str" cm="1">
        <f t="array" ref="K13">IF(J13&lt;&gt;"Sim","",IF(MOD(COUNTIF($J$4:J13,"Sim"),2)&lt;&gt;0,"",IF(COUNTIFS($L$4:L13,L13,$D$4:D13,"&lt;&gt;"&amp;D13)&gt;0,"",IFERROR((G13-_xlfn.XLOOKUP(L13,$L$4:L13,$G$4:G13,"",0,1))/(SUMIFS($E$4:E13,$L$4:L13,L13)-_xlfn.XLOOKUP(L13,$L$4:L13,$E$4:E13,"",0,1)),""))))</f>
        <v/>
      </c>
      <c r="L13" s="2">
        <f>IF(G13="","",IF(J13="Sim",INT((COUNTIF($J$4:J13,"Sim")-1)/2)+1,INT(COUNTIF($J$4:J12,"Sim")/2)+1))</f>
        <v>4</v>
      </c>
      <c r="M13" s="12" cm="1">
        <f t="array" ref="M13">IF(J13&lt;&gt;"Sim","",IF(MOD(COUNTIF($J$4:J13,"Sim"),2)&lt;&gt;0,"",IFERROR((SUMIFS($F$4:F13,$L$4:L13,L13)-_xlfn.XLOOKUP(L13,$L$4:L13,$F$4:F13,"",0,1))/(G13-_xlfn.XLOOKUP(L13,$L$4:L13,$G$4:G13,"",0,1)),"")))</f>
        <v>0.46165966386554608</v>
      </c>
    </row>
    <row r="14" spans="2:13" x14ac:dyDescent="0.35">
      <c r="B14" s="10">
        <v>46188</v>
      </c>
      <c r="C14" s="3" t="s">
        <v>21</v>
      </c>
      <c r="D14" s="2" t="s">
        <v>8</v>
      </c>
      <c r="E14" s="4">
        <v>40</v>
      </c>
      <c r="F14" s="21">
        <v>156</v>
      </c>
      <c r="G14" s="6">
        <v>48610</v>
      </c>
      <c r="H14" s="7">
        <f>IFERROR(Tabela1[[#This Row],[Valor]]/Tabela1[[#This Row],[Litros]],"")</f>
        <v>3.9</v>
      </c>
      <c r="I14" s="2">
        <f>IF(Tabela1[[#This Row],[Km Atual]]="","",IFERROR(Tabela1[[#This Row],[Km Atual]]-G13,""))</f>
        <v>400</v>
      </c>
      <c r="J14" s="2" t="s">
        <v>15</v>
      </c>
      <c r="K14" s="4" t="str" cm="1">
        <f t="array" ref="K14">IF(J14&lt;&gt;"Sim","",IF(MOD(COUNTIF($J$4:J14,"Sim"),2)&lt;&gt;0,"",IF(COUNTIFS($L$4:L14,L14,$D$4:D14,"&lt;&gt;"&amp;D14)&gt;0,"",IFERROR((G14-_xlfn.XLOOKUP(L14,$L$4:L14,$G$4:G14,"",0,1))/(SUMIFS($E$4:E14,$L$4:L14,L14)-_xlfn.XLOOKUP(L14,$L$4:L14,$E$4:E14,"",0,1)),""))))</f>
        <v/>
      </c>
      <c r="L14" s="2">
        <f>IF(G14="","",IF(J14="Sim",INT((COUNTIF($J$4:J14,"Sim")-1)/2)+1,INT(COUNTIF($J$4:J13,"Sim")/2)+1))</f>
        <v>5</v>
      </c>
      <c r="M14" s="12" t="str" cm="1">
        <f t="array" ref="M14">IF(J14&lt;&gt;"Sim","",IF(MOD(COUNTIF($J$4:J14,"Sim"),2)&lt;&gt;0,"",IFERROR((SUMIFS($F$4:F14,$L$4:L14,L14)-_xlfn.XLOOKUP(L14,$L$4:L14,$F$4:F14,"",0,1))/(G14-_xlfn.XLOOKUP(L14,$L$4:L14,$G$4:G14,"",0,1)),"")))</f>
        <v/>
      </c>
    </row>
    <row r="15" spans="2:13" x14ac:dyDescent="0.35">
      <c r="B15" s="10">
        <v>46205</v>
      </c>
      <c r="C15" s="3" t="s">
        <v>19</v>
      </c>
      <c r="D15" s="2" t="s">
        <v>8</v>
      </c>
      <c r="E15" s="4">
        <v>42.5</v>
      </c>
      <c r="F15" s="21">
        <v>165.75</v>
      </c>
      <c r="G15" s="6">
        <v>49035</v>
      </c>
      <c r="H15" s="7">
        <f>IFERROR(Tabela1[[#This Row],[Valor]]/Tabela1[[#This Row],[Litros]],"")</f>
        <v>3.9</v>
      </c>
      <c r="I15" s="2">
        <f>IF(Tabela1[[#This Row],[Km Atual]]="","",IFERROR(Tabela1[[#This Row],[Km Atual]]-G14,""))</f>
        <v>425</v>
      </c>
      <c r="J15" s="2" t="s">
        <v>15</v>
      </c>
      <c r="K15" s="4" cm="1">
        <f t="array" ref="K15">IF(J15&lt;&gt;"Sim","",IF(MOD(COUNTIF($J$4:J15,"Sim"),2)&lt;&gt;0,"",IF(COUNTIFS($L$4:L15,L15,$D$4:D15,"&lt;&gt;"&amp;D15)&gt;0,"",IFERROR((G15-_xlfn.XLOOKUP(L15,$L$4:L15,$G$4:G15,"",0,1))/(SUMIFS($E$4:E15,$L$4:L15,L15)-_xlfn.XLOOKUP(L15,$L$4:L15,$E$4:E15,"",0,1)),""))))</f>
        <v>10</v>
      </c>
      <c r="L15" s="2">
        <f>IF(G15="","",IF(J15="Sim",INT((COUNTIF($J$4:J15,"Sim")-1)/2)+1,INT(COUNTIF($J$4:J14,"Sim")/2)+1))</f>
        <v>5</v>
      </c>
      <c r="M15" s="12" cm="1">
        <f t="array" ref="M15">IF(J15&lt;&gt;"Sim","",IF(MOD(COUNTIF($J$4:J15,"Sim"),2)&lt;&gt;0,"",IFERROR((SUMIFS($F$4:F15,$L$4:L15,L15)-_xlfn.XLOOKUP(L15,$L$4:L15,$F$4:F15,"",0,1))/(G15-_xlfn.XLOOKUP(L15,$L$4:L15,$G$4:G15,"",0,1)),"")))</f>
        <v>0.39</v>
      </c>
    </row>
    <row r="16" spans="2:13" x14ac:dyDescent="0.35">
      <c r="B16" s="10">
        <v>46221</v>
      </c>
      <c r="C16" s="3" t="s">
        <v>23</v>
      </c>
      <c r="D16" s="2" t="s">
        <v>9</v>
      </c>
      <c r="E16" s="4">
        <v>50</v>
      </c>
      <c r="F16" s="21">
        <v>295</v>
      </c>
      <c r="G16" s="6">
        <v>49635</v>
      </c>
      <c r="H16" s="7">
        <f>IFERROR(Tabela1[[#This Row],[Valor]]/Tabela1[[#This Row],[Litros]],"")</f>
        <v>5.9</v>
      </c>
      <c r="I16" s="2">
        <f>IF(Tabela1[[#This Row],[Km Atual]]="","",IFERROR(Tabela1[[#This Row],[Km Atual]]-G15,""))</f>
        <v>600</v>
      </c>
      <c r="J16" s="2" t="s">
        <v>15</v>
      </c>
      <c r="K16" s="4" t="str" cm="1">
        <f t="array" ref="K16">IF(J16&lt;&gt;"Sim","",IF(MOD(COUNTIF($J$4:J16,"Sim"),2)&lt;&gt;0,"",IF(COUNTIFS($L$4:L16,L16,$D$4:D16,"&lt;&gt;"&amp;D16)&gt;0,"",IFERROR((G16-_xlfn.XLOOKUP(L16,$L$4:L16,$G$4:G16,"",0,1))/(SUMIFS($E$4:E16,$L$4:L16,L16)-_xlfn.XLOOKUP(L16,$L$4:L16,$E$4:E16,"",0,1)),""))))</f>
        <v/>
      </c>
      <c r="L16" s="2">
        <f>IF(G16="","",IF(J16="Sim",INT((COUNTIF($J$4:J16,"Sim")-1)/2)+1,INT(COUNTIF($J$4:J15,"Sim")/2)+1))</f>
        <v>6</v>
      </c>
      <c r="M16" s="12" t="str" cm="1">
        <f t="array" ref="M16">IF(J16&lt;&gt;"Sim","",IF(MOD(COUNTIF($J$4:J16,"Sim"),2)&lt;&gt;0,"",IFERROR((SUMIFS($F$4:F16,$L$4:L16,L16)-_xlfn.XLOOKUP(L16,$L$4:L16,$F$4:F16,"",0,1))/(G16-_xlfn.XLOOKUP(L16,$L$4:L16,$G$4:G16,"",0,1)),"")))</f>
        <v/>
      </c>
    </row>
    <row r="17" spans="2:13" x14ac:dyDescent="0.35">
      <c r="B17" s="14">
        <v>46237</v>
      </c>
      <c r="C17" s="15" t="s">
        <v>23</v>
      </c>
      <c r="D17" s="16" t="s">
        <v>9</v>
      </c>
      <c r="E17" s="17">
        <v>48</v>
      </c>
      <c r="F17" s="22">
        <v>283.2</v>
      </c>
      <c r="G17" s="18">
        <v>50211</v>
      </c>
      <c r="H17" s="7">
        <f>IFERROR(Tabela1[[#This Row],[Valor]]/Tabela1[[#This Row],[Litros]],"")</f>
        <v>5.8999999999999995</v>
      </c>
      <c r="I17" s="2">
        <f>IF(Tabela1[[#This Row],[Km Atual]]="","",IFERROR(Tabela1[[#This Row],[Km Atual]]-G16,""))</f>
        <v>576</v>
      </c>
      <c r="J17" s="16" t="s">
        <v>15</v>
      </c>
      <c r="K17" s="4" cm="1">
        <f t="array" ref="K17">IF(J17&lt;&gt;"Sim","",IF(MOD(COUNTIF($J$4:J17,"Sim"),2)&lt;&gt;0,"",IF(COUNTIFS($L$4:L17,L17,$D$4:D17,"&lt;&gt;"&amp;D17)&gt;0,"",IFERROR((G17-_xlfn.XLOOKUP(L17,$L$4:L17,$G$4:G17,"",0,1))/(SUMIFS($E$4:E17,$L$4:L17,L17)-_xlfn.XLOOKUP(L17,$L$4:L17,$E$4:E17,"",0,1)),""))))</f>
        <v>12</v>
      </c>
      <c r="L17" s="2">
        <f>IF(G17="","",IF(J17="Sim",INT((COUNTIF($J$4:J17,"Sim")-1)/2)+1,INT(COUNTIF($J$4:J16,"Sim")/2)+1))</f>
        <v>6</v>
      </c>
      <c r="M17" s="12" cm="1">
        <f t="array" ref="M17">IF(J17&lt;&gt;"Sim","",IF(MOD(COUNTIF($J$4:J17,"Sim"),2)&lt;&gt;0,"",IFERROR((SUMIFS($F$4:F17,$L$4:L17,L17)-_xlfn.XLOOKUP(L17,$L$4:L17,$F$4:F17,"",0,1))/(G17-_xlfn.XLOOKUP(L17,$L$4:L17,$G$4:G17,"",0,1)),"")))</f>
        <v>0.49166666666666675</v>
      </c>
    </row>
    <row r="18" spans="2:13" x14ac:dyDescent="0.35">
      <c r="B18" s="10">
        <v>46249</v>
      </c>
      <c r="C18" s="3" t="s">
        <v>19</v>
      </c>
      <c r="D18" s="2" t="s">
        <v>8</v>
      </c>
      <c r="E18" s="4">
        <v>41</v>
      </c>
      <c r="F18" s="21">
        <v>159.9</v>
      </c>
      <c r="G18" s="6">
        <v>50621</v>
      </c>
      <c r="H18" s="7">
        <f>IFERROR(Tabela1[[#This Row],[Valor]]/Tabela1[[#This Row],[Litros]],"")</f>
        <v>3.9000000000000004</v>
      </c>
      <c r="I18" s="2">
        <f>IF(Tabela1[[#This Row],[Km Atual]]="","",IFERROR(Tabela1[[#This Row],[Km Atual]]-G17,""))</f>
        <v>410</v>
      </c>
      <c r="J18" s="2" t="s">
        <v>15</v>
      </c>
      <c r="K18" s="4" t="str" cm="1">
        <f t="array" ref="K18">IF(J18&lt;&gt;"Sim","",IF(MOD(COUNTIF($J$4:J18,"Sim"),2)&lt;&gt;0,"",IF(COUNTIFS($L$4:L18,L18,$D$4:D18,"&lt;&gt;"&amp;D18)&gt;0,"",IFERROR((G18-_xlfn.XLOOKUP(L18,$L$4:L18,$G$4:G18,"",0,1))/(SUMIFS($E$4:E18,$L$4:L18,L18)-_xlfn.XLOOKUP(L18,$L$4:L18,$E$4:E18,"",0,1)),""))))</f>
        <v/>
      </c>
      <c r="L18" s="2">
        <f>IF(G18="","",IF(J18="Sim",INT((COUNTIF($J$4:J18,"Sim")-1)/2)+1,INT(COUNTIF($J$4:J17,"Sim")/2)+1))</f>
        <v>7</v>
      </c>
      <c r="M18" s="12" t="str" cm="1">
        <f t="array" ref="M18">IF(J18&lt;&gt;"Sim","",IF(MOD(COUNTIF($J$4:J18,"Sim"),2)&lt;&gt;0,"",IFERROR((SUMIFS($F$4:F18,$L$4:L18,L18)-_xlfn.XLOOKUP(L18,$L$4:L18,$F$4:F18,"",0,1))/(G18-_xlfn.XLOOKUP(L18,$L$4:L18,$G$4:G18,"",0,1)),"")))</f>
        <v/>
      </c>
    </row>
    <row r="19" spans="2:13" x14ac:dyDescent="0.35">
      <c r="B19" s="14">
        <v>46262</v>
      </c>
      <c r="C19" s="15" t="s">
        <v>20</v>
      </c>
      <c r="D19" s="16" t="s">
        <v>7</v>
      </c>
      <c r="E19" s="17">
        <v>20</v>
      </c>
      <c r="F19" s="22">
        <v>115.8</v>
      </c>
      <c r="G19" s="18">
        <v>50840</v>
      </c>
      <c r="H19" s="7">
        <f>IFERROR(Tabela1[[#This Row],[Valor]]/Tabela1[[#This Row],[Litros]],"")</f>
        <v>5.79</v>
      </c>
      <c r="I19" s="2">
        <f>IF(Tabela1[[#This Row],[Km Atual]]="","",IFERROR(Tabela1[[#This Row],[Km Atual]]-G18,""))</f>
        <v>219</v>
      </c>
      <c r="J19" s="16" t="s">
        <v>16</v>
      </c>
      <c r="K19" s="4" t="str" cm="1">
        <f t="array" ref="K19">IF(J19&lt;&gt;"Sim","",IF(MOD(COUNTIF($J$4:J19,"Sim"),2)&lt;&gt;0,"",IF(COUNTIFS($L$4:L19,L19,$D$4:D19,"&lt;&gt;"&amp;D19)&gt;0,"",IFERROR((G19-_xlfn.XLOOKUP(L19,$L$4:L19,$G$4:G19,"",0,1))/(SUMIFS($E$4:E19,$L$4:L19,L19)-_xlfn.XLOOKUP(L19,$L$4:L19,$E$4:E19,"",0,1)),""))))</f>
        <v/>
      </c>
      <c r="L19" s="2">
        <f>IF(G19="","",IF(J19="Sim",INT((COUNTIF($J$4:J19,"Sim")-1)/2)+1,INT(COUNTIF($J$4:J18,"Sim")/2)+1))</f>
        <v>7</v>
      </c>
      <c r="M19" s="12" t="str" cm="1">
        <f t="array" ref="M19">IF(J19&lt;&gt;"Sim","",IF(MOD(COUNTIF($J$4:J19,"Sim"),2)&lt;&gt;0,"",IFERROR((SUMIFS($F$4:F19,$L$4:L19,L19)-_xlfn.XLOOKUP(L19,$L$4:L19,$F$4:F19,"",0,1))/(G19-_xlfn.XLOOKUP(L19,$L$4:L19,$G$4:G19,"",0,1)),"")))</f>
        <v/>
      </c>
    </row>
    <row r="20" spans="2:13" x14ac:dyDescent="0.35">
      <c r="B20" s="10">
        <v>46275</v>
      </c>
      <c r="C20" s="3" t="s">
        <v>21</v>
      </c>
      <c r="D20" s="2" t="s">
        <v>8</v>
      </c>
      <c r="E20" s="4">
        <v>42</v>
      </c>
      <c r="F20" s="21">
        <v>163.80000000000001</v>
      </c>
      <c r="G20" s="6">
        <v>51210</v>
      </c>
      <c r="H20" s="7">
        <f>IFERROR(Tabela1[[#This Row],[Valor]]/Tabela1[[#This Row],[Litros]],"")</f>
        <v>3.9000000000000004</v>
      </c>
      <c r="I20" s="2">
        <f>IF(Tabela1[[#This Row],[Km Atual]]="","",IFERROR(Tabela1[[#This Row],[Km Atual]]-G19,""))</f>
        <v>370</v>
      </c>
      <c r="J20" s="2" t="s">
        <v>15</v>
      </c>
      <c r="K20" s="4" t="str" cm="1">
        <f t="array" ref="K20">IF(J20&lt;&gt;"Sim","",IF(MOD(COUNTIF($J$4:J20,"Sim"),2)&lt;&gt;0,"",IF(COUNTIFS($L$4:L20,L20,$D$4:D20,"&lt;&gt;"&amp;D20)&gt;0,"",IFERROR((G20-_xlfn.XLOOKUP(L20,$L$4:L20,$G$4:G20,"",0,1))/(SUMIFS($E$4:E20,$L$4:L20,L20)-_xlfn.XLOOKUP(L20,$L$4:L20,$E$4:E20,"",0,1)),""))))</f>
        <v/>
      </c>
      <c r="L20" s="2">
        <f>IF(G20="","",IF(J20="Sim",INT((COUNTIF($J$4:J20,"Sim")-1)/2)+1,INT(COUNTIF($J$4:J19,"Sim")/2)+1))</f>
        <v>7</v>
      </c>
      <c r="M20" s="12" cm="1">
        <f t="array" ref="M20">IF(J20&lt;&gt;"Sim","",IF(MOD(COUNTIF($J$4:J20,"Sim"),2)&lt;&gt;0,"",IFERROR((SUMIFS($F$4:F20,$L$4:L20,L20)-_xlfn.XLOOKUP(L20,$L$4:L20,$F$4:F20,"",0,1))/(G20-_xlfn.XLOOKUP(L20,$L$4:L20,$G$4:G20,"",0,1)),"")))</f>
        <v>0.47470288624787782</v>
      </c>
    </row>
    <row r="21" spans="2:13" x14ac:dyDescent="0.35">
      <c r="B21" s="10">
        <v>46290</v>
      </c>
      <c r="C21" s="3" t="s">
        <v>21</v>
      </c>
      <c r="D21" s="2" t="s">
        <v>8</v>
      </c>
      <c r="E21" s="4">
        <v>40</v>
      </c>
      <c r="F21" s="20">
        <v>156</v>
      </c>
      <c r="G21" s="6">
        <v>51610</v>
      </c>
      <c r="H21" s="7">
        <f>IFERROR(Tabela1[[#This Row],[Valor]]/Tabela1[[#This Row],[Litros]],"")</f>
        <v>3.9</v>
      </c>
      <c r="I21" s="2">
        <f>IF(Tabela1[[#This Row],[Km Atual]]="","",IFERROR(Tabela1[[#This Row],[Km Atual]]-G20,""))</f>
        <v>400</v>
      </c>
      <c r="J21" s="2" t="s">
        <v>15</v>
      </c>
      <c r="K21" s="4" t="str" cm="1">
        <f t="array" ref="K21">IF(J21&lt;&gt;"Sim","",IF(MOD(COUNTIF($J$4:J21,"Sim"),2)&lt;&gt;0,"",IF(COUNTIFS($L$4:L21,L21,$D$4:D21,"&lt;&gt;"&amp;D21)&gt;0,"",IFERROR((G21-_xlfn.XLOOKUP(L21,$L$4:L21,$G$4:G21,"",0,1))/(SUMIFS($E$4:E21,$L$4:L21,L21)-_xlfn.XLOOKUP(L21,$L$4:L21,$E$4:E21,"",0,1)),""))))</f>
        <v/>
      </c>
      <c r="L21" s="2">
        <f>IF(G21="","",IF(J21="Sim",INT((COUNTIF($J$4:J21,"Sim")-1)/2)+1,INT(COUNTIF($J$4:J20,"Sim")/2)+1))</f>
        <v>8</v>
      </c>
      <c r="M21" s="12" t="str" cm="1">
        <f t="array" ref="M21">IF(J21&lt;&gt;"Sim","",IF(MOD(COUNTIF($J$4:J21,"Sim"),2)&lt;&gt;0,"",IFERROR((SUMIFS($F$4:F21,$L$4:L21,L21)-_xlfn.XLOOKUP(L21,$L$4:L21,$F$4:F21,"",0,1))/(G21-_xlfn.XLOOKUP(L21,$L$4:L21,$G$4:G21,"",0,1)),"")))</f>
        <v/>
      </c>
    </row>
    <row r="22" spans="2:13" x14ac:dyDescent="0.35">
      <c r="B22" s="10">
        <v>46303</v>
      </c>
      <c r="C22" s="3" t="s">
        <v>19</v>
      </c>
      <c r="D22" s="2" t="s">
        <v>7</v>
      </c>
      <c r="E22" s="4">
        <v>41</v>
      </c>
      <c r="F22" s="20">
        <v>237.39</v>
      </c>
      <c r="G22" s="6">
        <v>52102</v>
      </c>
      <c r="H22" s="7">
        <f>IFERROR(Tabela1[[#This Row],[Valor]]/Tabela1[[#This Row],[Litros]],"")</f>
        <v>5.79</v>
      </c>
      <c r="I22" s="2">
        <f>IF(Tabela1[[#This Row],[Km Atual]]="","",IFERROR(Tabela1[[#This Row],[Km Atual]]-G21,""))</f>
        <v>492</v>
      </c>
      <c r="J22" s="2" t="s">
        <v>15</v>
      </c>
      <c r="K22" s="4" t="str" cm="1">
        <f t="array" ref="K22">IF(J22&lt;&gt;"Sim","",IF(MOD(COUNTIF($J$4:J22,"Sim"),2)&lt;&gt;0,"",IF(COUNTIFS($L$4:L22,L22,$D$4:D22,"&lt;&gt;"&amp;D22)&gt;0,"",IFERROR((G22-_xlfn.XLOOKUP(L22,$L$4:L22,$G$4:G22,"",0,1))/(SUMIFS($E$4:E22,$L$4:L22,L22)-_xlfn.XLOOKUP(L22,$L$4:L22,$E$4:E22,"",0,1)),""))))</f>
        <v/>
      </c>
      <c r="L22" s="2">
        <f>IF(G22="","",IF(J22="Sim",INT((COUNTIF($J$4:J22,"Sim")-1)/2)+1,INT(COUNTIF($J$4:J21,"Sim")/2)+1))</f>
        <v>8</v>
      </c>
      <c r="M22" s="12" cm="1">
        <f t="array" ref="M22">IF(J22&lt;&gt;"Sim","",IF(MOD(COUNTIF($J$4:J22,"Sim"),2)&lt;&gt;0,"",IFERROR((SUMIFS($F$4:F22,$L$4:L22,L22)-_xlfn.XLOOKUP(L22,$L$4:L22,$F$4:F22,"",0,1))/(G22-_xlfn.XLOOKUP(L22,$L$4:L22,$G$4:G22,"",0,1)),"")))</f>
        <v>0.48249999999999998</v>
      </c>
    </row>
    <row r="23" spans="2:13" x14ac:dyDescent="0.35">
      <c r="B23" s="10">
        <v>46317</v>
      </c>
      <c r="C23" s="3" t="s">
        <v>24</v>
      </c>
      <c r="D23" s="2" t="s">
        <v>10</v>
      </c>
      <c r="E23" s="4">
        <v>15</v>
      </c>
      <c r="F23" s="20">
        <v>68.849999999999994</v>
      </c>
      <c r="G23" s="6">
        <v>52312</v>
      </c>
      <c r="H23" s="7">
        <f>IFERROR(Tabela1[[#This Row],[Valor]]/Tabela1[[#This Row],[Litros]],"")</f>
        <v>4.59</v>
      </c>
      <c r="I23" s="2">
        <f>IF(Tabela1[[#This Row],[Km Atual]]="","",IFERROR(Tabela1[[#This Row],[Km Atual]]-G22,""))</f>
        <v>210</v>
      </c>
      <c r="J23" s="2" t="s">
        <v>15</v>
      </c>
      <c r="K23" s="4" t="str" cm="1">
        <f t="array" ref="K23">IF(J23&lt;&gt;"Sim","",IF(MOD(COUNTIF($J$4:J23,"Sim"),2)&lt;&gt;0,"",IF(COUNTIFS($L$4:L23,L23,$D$4:D23,"&lt;&gt;"&amp;D23)&gt;0,"",IFERROR((G23-_xlfn.XLOOKUP(L23,$L$4:L23,$G$4:G23,"",0,1))/(SUMIFS($E$4:E23,$L$4:L23,L23)-_xlfn.XLOOKUP(L23,$L$4:L23,$E$4:E23,"",0,1)),""))))</f>
        <v/>
      </c>
      <c r="L23" s="2">
        <f>IF(G23="","",IF(J23="Sim",INT((COUNTIF($J$4:J23,"Sim")-1)/2)+1,INT(COUNTIF($J$4:J22,"Sim")/2)+1))</f>
        <v>9</v>
      </c>
      <c r="M23" s="12" t="str" cm="1">
        <f t="array" ref="M23">IF(J23&lt;&gt;"Sim","",IF(MOD(COUNTIF($J$4:J23,"Sim"),2)&lt;&gt;0,"",IFERROR((SUMIFS($F$4:F23,$L$4:L23,L23)-_xlfn.XLOOKUP(L23,$L$4:L23,$F$4:F23,"",0,1))/(G23-_xlfn.XLOOKUP(L23,$L$4:L23,$G$4:G23,"",0,1)),"")))</f>
        <v/>
      </c>
    </row>
    <row r="24" spans="2:13" x14ac:dyDescent="0.35">
      <c r="B24" s="10">
        <v>46331</v>
      </c>
      <c r="C24" s="3" t="s">
        <v>24</v>
      </c>
      <c r="D24" s="2" t="s">
        <v>10</v>
      </c>
      <c r="E24" s="4">
        <v>14.5</v>
      </c>
      <c r="F24" s="20">
        <v>66.55</v>
      </c>
      <c r="G24" s="6">
        <v>52515</v>
      </c>
      <c r="H24" s="7">
        <f>IFERROR(Tabela1[[#This Row],[Valor]]/Tabela1[[#This Row],[Litros]],"")</f>
        <v>4.5896551724137931</v>
      </c>
      <c r="I24" s="2">
        <f>IF(Tabela1[[#This Row],[Km Atual]]="","",IFERROR(Tabela1[[#This Row],[Km Atual]]-G23,""))</f>
        <v>203</v>
      </c>
      <c r="J24" s="2" t="s">
        <v>15</v>
      </c>
      <c r="K24" s="4" cm="1">
        <f t="array" ref="K24">IF(J24&lt;&gt;"Sim","",IF(MOD(COUNTIF($J$4:J24,"Sim"),2)&lt;&gt;0,"",IF(COUNTIFS($L$4:L24,L24,$D$4:D24,"&lt;&gt;"&amp;D24)&gt;0,"",IFERROR((G24-_xlfn.XLOOKUP(L24,$L$4:L24,$G$4:G24,"",0,1))/(SUMIFS($E$4:E24,$L$4:L24,L24)-_xlfn.XLOOKUP(L24,$L$4:L24,$E$4:E24,"",0,1)),""))))</f>
        <v>14</v>
      </c>
      <c r="L24" s="2">
        <f>IF(G24="","",IF(J24="Sim",INT((COUNTIF($J$4:J24,"Sim")-1)/2)+1,INT(COUNTIF($J$4:J23,"Sim")/2)+1))</f>
        <v>9</v>
      </c>
      <c r="M24" s="12" cm="1">
        <f t="array" ref="M24">IF(J24&lt;&gt;"Sim","",IF(MOD(COUNTIF($J$4:J24,"Sim"),2)&lt;&gt;0,"",IFERROR((SUMIFS($F$4:F24,$L$4:L24,L24)-_xlfn.XLOOKUP(L24,$L$4:L24,$F$4:F24,"",0,1))/(G24-_xlfn.XLOOKUP(L24,$L$4:L24,$G$4:G24,"",0,1)),"")))</f>
        <v>0.32783251231527083</v>
      </c>
    </row>
    <row r="25" spans="2:13" x14ac:dyDescent="0.35">
      <c r="B25" s="10">
        <v>46345</v>
      </c>
      <c r="C25" s="3" t="s">
        <v>21</v>
      </c>
      <c r="D25" s="2" t="s">
        <v>8</v>
      </c>
      <c r="E25" s="4">
        <v>42</v>
      </c>
      <c r="F25" s="20">
        <v>163.80000000000001</v>
      </c>
      <c r="G25" s="6">
        <v>52935</v>
      </c>
      <c r="H25" s="7">
        <f>IFERROR(Tabela1[[#This Row],[Valor]]/Tabela1[[#This Row],[Litros]],"")</f>
        <v>3.9000000000000004</v>
      </c>
      <c r="I25" s="2">
        <f>IF(Tabela1[[#This Row],[Km Atual]]="","",IFERROR(Tabela1[[#This Row],[Km Atual]]-G24,""))</f>
        <v>420</v>
      </c>
      <c r="J25" s="2" t="s">
        <v>15</v>
      </c>
      <c r="K25" s="4" t="str" cm="1">
        <f t="array" ref="K25">IF(J25&lt;&gt;"Sim","",IF(MOD(COUNTIF($J$4:J25,"Sim"),2)&lt;&gt;0,"",IF(COUNTIFS($L$4:L25,L25,$D$4:D25,"&lt;&gt;"&amp;D25)&gt;0,"",IFERROR((G25-_xlfn.XLOOKUP(L25,$L$4:L25,$G$4:G25,"",0,1))/(SUMIFS($E$4:E25,$L$4:L25,L25)-_xlfn.XLOOKUP(L25,$L$4:L25,$E$4:E25,"",0,1)),""))))</f>
        <v/>
      </c>
      <c r="L25" s="2">
        <f>IF(G25="","",IF(J25="Sim",INT((COUNTIF($J$4:J25,"Sim")-1)/2)+1,INT(COUNTIF($J$4:J24,"Sim")/2)+1))</f>
        <v>10</v>
      </c>
      <c r="M25" s="12" t="str" cm="1">
        <f t="array" ref="M25">IF(J25&lt;&gt;"Sim","",IF(MOD(COUNTIF($J$4:J25,"Sim"),2)&lt;&gt;0,"",IFERROR((SUMIFS($F$4:F25,$L$4:L25,L25)-_xlfn.XLOOKUP(L25,$L$4:L25,$F$4:F25,"",0,1))/(G25-_xlfn.XLOOKUP(L25,$L$4:L25,$G$4:G25,"",0,1)),"")))</f>
        <v/>
      </c>
    </row>
    <row r="26" spans="2:13" x14ac:dyDescent="0.35">
      <c r="B26" s="10">
        <v>46359</v>
      </c>
      <c r="C26" s="3" t="s">
        <v>21</v>
      </c>
      <c r="D26" s="2" t="s">
        <v>8</v>
      </c>
      <c r="E26" s="4">
        <v>41</v>
      </c>
      <c r="F26" s="20">
        <v>159.9</v>
      </c>
      <c r="G26" s="6">
        <v>53345</v>
      </c>
      <c r="H26" s="7">
        <f>IFERROR(Tabela1[[#This Row],[Valor]]/Tabela1[[#This Row],[Litros]],"")</f>
        <v>3.9000000000000004</v>
      </c>
      <c r="I26" s="2">
        <f>IF(Tabela1[[#This Row],[Km Atual]]="","",IFERROR(Tabela1[[#This Row],[Km Atual]]-G25,""))</f>
        <v>410</v>
      </c>
      <c r="J26" s="2" t="s">
        <v>15</v>
      </c>
      <c r="K26" s="4" cm="1">
        <f t="array" ref="K26">IF(J26&lt;&gt;"Sim","",IF(MOD(COUNTIF($J$4:J26,"Sim"),2)&lt;&gt;0,"",IF(COUNTIFS($L$4:L26,L26,$D$4:D26,"&lt;&gt;"&amp;D26)&gt;0,"",IFERROR((G26-_xlfn.XLOOKUP(L26,$L$4:L26,$G$4:G26,"",0,1))/(SUMIFS($E$4:E26,$L$4:L26,L26)-_xlfn.XLOOKUP(L26,$L$4:L26,$E$4:E26,"",0,1)),""))))</f>
        <v>10</v>
      </c>
      <c r="L26" s="2">
        <f>IF(G26="","",IF(J26="Sim",INT((COUNTIF($J$4:J26,"Sim")-1)/2)+1,INT(COUNTIF($J$4:J25,"Sim")/2)+1))</f>
        <v>10</v>
      </c>
      <c r="M26" s="12" cm="1">
        <f t="array" ref="M26">IF(J26&lt;&gt;"Sim","",IF(MOD(COUNTIF($J$4:J26,"Sim"),2)&lt;&gt;0,"",IFERROR((SUMIFS($F$4:F26,$L$4:L26,L26)-_xlfn.XLOOKUP(L26,$L$4:L26,$F$4:F26,"",0,1))/(G26-_xlfn.XLOOKUP(L26,$L$4:L26,$G$4:G26,"",0,1)),"")))</f>
        <v>0.39000000000000007</v>
      </c>
    </row>
    <row r="27" spans="2:13" x14ac:dyDescent="0.35">
      <c r="B27" s="10">
        <v>46374</v>
      </c>
      <c r="C27" s="3" t="s">
        <v>19</v>
      </c>
      <c r="D27" s="2" t="s">
        <v>7</v>
      </c>
      <c r="E27" s="4">
        <v>12</v>
      </c>
      <c r="F27" s="20">
        <v>69.48</v>
      </c>
      <c r="G27" s="6">
        <v>53490</v>
      </c>
      <c r="H27" s="7">
        <f>IFERROR(Tabela1[[#This Row],[Valor]]/Tabela1[[#This Row],[Litros]],"")</f>
        <v>5.79</v>
      </c>
      <c r="I27" s="2">
        <f>IF(Tabela1[[#This Row],[Km Atual]]="","",IFERROR(Tabela1[[#This Row],[Km Atual]]-G26,""))</f>
        <v>145</v>
      </c>
      <c r="J27" s="2" t="s">
        <v>16</v>
      </c>
      <c r="K27" s="4" t="str" cm="1">
        <f t="array" ref="K27">IF(J27&lt;&gt;"Sim","",IF(MOD(COUNTIF($J$4:J27,"Sim"),2)&lt;&gt;0,"",IF(COUNTIFS($L$4:L27,L27,$D$4:D27,"&lt;&gt;"&amp;D27)&gt;0,"",IFERROR((G27-_xlfn.XLOOKUP(L27,$L$4:L27,$G$4:G27,"",0,1))/(SUMIFS($E$4:E27,$L$4:L27,L27)-_xlfn.XLOOKUP(L27,$L$4:L27,$E$4:E27,"",0,1)),""))))</f>
        <v/>
      </c>
      <c r="L27" s="2">
        <f>IF(G27="","",IF(J27="Sim",INT((COUNTIF($J$4:J27,"Sim")-1)/2)+1,INT(COUNTIF($J$4:J26,"Sim")/2)+1))</f>
        <v>11</v>
      </c>
      <c r="M27" s="12" t="str" cm="1">
        <f t="array" ref="M27">IF(J27&lt;&gt;"Sim","",IF(MOD(COUNTIF($J$4:J27,"Sim"),2)&lt;&gt;0,"",IFERROR((SUMIFS($F$4:F27,$L$4:L27,L27)-_xlfn.XLOOKUP(L27,$L$4:L27,$F$4:F27,"",0,1))/(G27-_xlfn.XLOOKUP(L27,$L$4:L27,$G$4:G27,"",0,1)),"")))</f>
        <v/>
      </c>
    </row>
    <row r="28" spans="2:13" x14ac:dyDescent="0.35">
      <c r="B28" s="10">
        <v>46386</v>
      </c>
      <c r="C28" s="3" t="s">
        <v>21</v>
      </c>
      <c r="D28" s="2" t="s">
        <v>8</v>
      </c>
      <c r="E28" s="4">
        <v>43</v>
      </c>
      <c r="F28" s="20">
        <v>167.7</v>
      </c>
      <c r="G28" s="6">
        <v>53880</v>
      </c>
      <c r="H28" s="7">
        <f>IFERROR(Tabela1[[#This Row],[Valor]]/Tabela1[[#This Row],[Litros]],"")</f>
        <v>3.9</v>
      </c>
      <c r="I28" s="2">
        <f>IF(Tabela1[[#This Row],[Km Atual]]="","",IFERROR(Tabela1[[#This Row],[Km Atual]]-G27,""))</f>
        <v>390</v>
      </c>
      <c r="J28" s="2" t="s">
        <v>15</v>
      </c>
      <c r="K28" s="4" t="str" cm="1">
        <f t="array" ref="K28">IF(J28&lt;&gt;"Sim","",IF(MOD(COUNTIF($J$4:J28,"Sim"),2)&lt;&gt;0,"",IF(COUNTIFS($L$4:L28,L28,$D$4:D28,"&lt;&gt;"&amp;D28)&gt;0,"",IFERROR((G28-_xlfn.XLOOKUP(L28,$L$4:L28,$G$4:G28,"",0,1))/(SUMIFS($E$4:E28,$L$4:L28,L28)-_xlfn.XLOOKUP(L28,$L$4:L28,$E$4:E28,"",0,1)),""))))</f>
        <v/>
      </c>
      <c r="L28" s="2">
        <f>IF(G28="","",IF(J28="Sim",INT((COUNTIF($J$4:J28,"Sim")-1)/2)+1,INT(COUNTIF($J$4:J27,"Sim")/2)+1))</f>
        <v>11</v>
      </c>
      <c r="M28" s="12" t="str" cm="1">
        <f t="array" ref="M28">IF(J28&lt;&gt;"Sim","",IF(MOD(COUNTIF($J$4:J28,"Sim"),2)&lt;&gt;0,"",IFERROR((SUMIFS($F$4:F28,$L$4:L28,L28)-_xlfn.XLOOKUP(L28,$L$4:L28,$F$4:F28,"",0,1))/(G28-_xlfn.XLOOKUP(L28,$L$4:L28,$G$4:G28,"",0,1)),"")))</f>
        <v/>
      </c>
    </row>
    <row r="29" spans="2:13" x14ac:dyDescent="0.35">
      <c r="B29" s="10">
        <v>46392</v>
      </c>
      <c r="C29" s="3" t="s">
        <v>21</v>
      </c>
      <c r="D29" s="2" t="s">
        <v>8</v>
      </c>
      <c r="E29" s="4">
        <v>40</v>
      </c>
      <c r="F29" s="20">
        <v>156</v>
      </c>
      <c r="G29" s="6">
        <v>54280</v>
      </c>
      <c r="H29" s="7">
        <f>IFERROR(Tabela1[[#This Row],[Valor]]/Tabela1[[#This Row],[Litros]],"")</f>
        <v>3.9</v>
      </c>
      <c r="I29" s="2">
        <f>IF(Tabela1[[#This Row],[Km Atual]]="","",IFERROR(Tabela1[[#This Row],[Km Atual]]-G28,""))</f>
        <v>400</v>
      </c>
      <c r="J29" s="2" t="s">
        <v>15</v>
      </c>
      <c r="K29" s="4" t="str" cm="1">
        <f t="array" ref="K29">IF(J29&lt;&gt;"Sim","",IF(MOD(COUNTIF($J$4:J29,"Sim"),2)&lt;&gt;0,"",IF(COUNTIFS($L$4:L29,L29,$D$4:D29,"&lt;&gt;"&amp;D29)&gt;0,"",IFERROR((G29-_xlfn.XLOOKUP(L29,$L$4:L29,$G$4:G29,"",0,1))/(SUMIFS($E$4:E29,$L$4:L29,L29)-_xlfn.XLOOKUP(L29,$L$4:L29,$E$4:E29,"",0,1)),""))))</f>
        <v/>
      </c>
      <c r="L29" s="2">
        <f>IF(G29="","",IF(J29="Sim",INT((COUNTIF($J$4:J29,"Sim")-1)/2)+1,INT(COUNTIF($J$4:J28,"Sim")/2)+1))</f>
        <v>11</v>
      </c>
      <c r="M29" s="12" cm="1">
        <f t="array" ref="M29">IF(J29&lt;&gt;"Sim","",IF(MOD(COUNTIF($J$4:J29,"Sim"),2)&lt;&gt;0,"",IFERROR((SUMIFS($F$4:F29,$L$4:L29,L29)-_xlfn.XLOOKUP(L29,$L$4:L29,$F$4:F29,"",0,1))/(G29-_xlfn.XLOOKUP(L29,$L$4:L29,$G$4:G29,"",0,1)),"")))</f>
        <v>0.40974683544303797</v>
      </c>
    </row>
    <row r="30" spans="2:13" x14ac:dyDescent="0.35">
      <c r="B30" s="10">
        <v>46409</v>
      </c>
      <c r="C30" s="3" t="s">
        <v>19</v>
      </c>
      <c r="D30" s="2" t="s">
        <v>8</v>
      </c>
      <c r="E30" s="4">
        <v>40</v>
      </c>
      <c r="F30" s="20">
        <v>159.6</v>
      </c>
      <c r="G30" s="6">
        <v>55095</v>
      </c>
      <c r="H30" s="7">
        <f>IFERROR(Tabela1[[#This Row],[Valor]]/Tabela1[[#This Row],[Litros]],"")</f>
        <v>3.9899999999999998</v>
      </c>
      <c r="I30" s="2">
        <f>IF(Tabela1[[#This Row],[Km Atual]]="","",IFERROR(Tabela1[[#This Row],[Km Atual]]-G29,""))</f>
        <v>815</v>
      </c>
      <c r="J30" s="2" t="s">
        <v>15</v>
      </c>
      <c r="K30" s="4" t="str" cm="1">
        <f t="array" ref="K30">IF(J30&lt;&gt;"Sim","",IF(MOD(COUNTIF($J$4:J30,"Sim"),2)&lt;&gt;0,"",IF(COUNTIFS($L$4:L30,L30,$D$4:D30,"&lt;&gt;"&amp;D30)&gt;0,"",IFERROR((G30-_xlfn.XLOOKUP(L30,$L$4:L30,$G$4:G30,"",0,1))/(SUMIFS($E$4:E30,$L$4:L30,L30)-_xlfn.XLOOKUP(L30,$L$4:L30,$E$4:E30,"",0,1)),""))))</f>
        <v/>
      </c>
      <c r="L30" s="2">
        <f>IF(G30="","",IF(J30="Sim",INT((COUNTIF($J$4:J30,"Sim")-1)/2)+1,INT(COUNTIF($J$4:J29,"Sim")/2)+1))</f>
        <v>12</v>
      </c>
      <c r="M30" s="12" t="str" cm="1">
        <f t="array" ref="M30">IF(J30&lt;&gt;"Sim","",IF(MOD(COUNTIF($J$4:J30,"Sim"),2)&lt;&gt;0,"",IFERROR((SUMIFS($F$4:F30,$L$4:L30,L30)-_xlfn.XLOOKUP(L30,$L$4:L30,$F$4:F30,"",0,1))/(G30-_xlfn.XLOOKUP(L30,$L$4:L30,$G$4:G30,"",0,1)),"")))</f>
        <v/>
      </c>
    </row>
    <row r="31" spans="2:13" x14ac:dyDescent="0.35">
      <c r="B31" s="10">
        <v>46423</v>
      </c>
      <c r="C31" s="3" t="s">
        <v>20</v>
      </c>
      <c r="D31" s="2" t="s">
        <v>7</v>
      </c>
      <c r="E31" s="4">
        <v>42</v>
      </c>
      <c r="F31" s="20">
        <v>247.38</v>
      </c>
      <c r="G31" s="6">
        <v>55600</v>
      </c>
      <c r="H31" s="7">
        <f>IFERROR(Tabela1[[#This Row],[Valor]]/Tabela1[[#This Row],[Litros]],"")</f>
        <v>5.89</v>
      </c>
      <c r="I31" s="2">
        <f>IF(Tabela1[[#This Row],[Km Atual]]="","",IFERROR(Tabela1[[#This Row],[Km Atual]]-G30,""))</f>
        <v>505</v>
      </c>
      <c r="J31" s="2" t="s">
        <v>15</v>
      </c>
      <c r="K31" s="4" t="str" cm="1">
        <f t="array" ref="K31">IF(J31&lt;&gt;"Sim","",IF(MOD(COUNTIF($J$4:J31,"Sim"),2)&lt;&gt;0,"",IF(COUNTIFS($L$4:L31,L31,$D$4:D31,"&lt;&gt;"&amp;D31)&gt;0,"",IFERROR((G31-_xlfn.XLOOKUP(L31,$L$4:L31,$G$4:G31,"",0,1))/(SUMIFS($E$4:E31,$L$4:L31,L31)-_xlfn.XLOOKUP(L31,$L$4:L31,$E$4:E31,"",0,1)),""))))</f>
        <v/>
      </c>
      <c r="L31" s="2">
        <f>IF(G31="","",IF(J31="Sim",INT((COUNTIF($J$4:J31,"Sim")-1)/2)+1,INT(COUNTIF($J$4:J30,"Sim")/2)+1))</f>
        <v>12</v>
      </c>
      <c r="M31" s="12" cm="1">
        <f t="array" ref="M31">IF(J31&lt;&gt;"Sim","",IF(MOD(COUNTIF($J$4:J31,"Sim"),2)&lt;&gt;0,"",IFERROR((SUMIFS($F$4:F31,$L$4:L31,L31)-_xlfn.XLOOKUP(L31,$L$4:L31,$F$4:F31,"",0,1))/(G31-_xlfn.XLOOKUP(L31,$L$4:L31,$G$4:G31,"",0,1)),"")))</f>
        <v>0.48986138613861391</v>
      </c>
    </row>
    <row r="32" spans="2:13" x14ac:dyDescent="0.35">
      <c r="B32" s="10">
        <v>46436</v>
      </c>
      <c r="C32" s="3" t="s">
        <v>20</v>
      </c>
      <c r="D32" s="2" t="s">
        <v>7</v>
      </c>
      <c r="E32" s="4">
        <v>41</v>
      </c>
      <c r="F32" s="20">
        <v>241.49</v>
      </c>
      <c r="G32" s="6">
        <v>56092</v>
      </c>
      <c r="H32" s="7">
        <f>IFERROR(Tabela1[[#This Row],[Valor]]/Tabela1[[#This Row],[Litros]],"")</f>
        <v>5.8900000000000006</v>
      </c>
      <c r="I32" s="2">
        <f>IF(Tabela1[[#This Row],[Km Atual]]="","",IFERROR(Tabela1[[#This Row],[Km Atual]]-G31,""))</f>
        <v>492</v>
      </c>
      <c r="J32" s="2" t="s">
        <v>15</v>
      </c>
      <c r="K32" s="4" t="str" cm="1">
        <f t="array" ref="K32">IF(J32&lt;&gt;"Sim","",IF(MOD(COUNTIF($J$4:J32,"Sim"),2)&lt;&gt;0,"",IF(COUNTIFS($L$4:L32,L32,$D$4:D32,"&lt;&gt;"&amp;D32)&gt;0,"",IFERROR((G32-_xlfn.XLOOKUP(L32,$L$4:L32,$G$4:G32,"",0,1))/(SUMIFS($E$4:E32,$L$4:L32,L32)-_xlfn.XLOOKUP(L32,$L$4:L32,$E$4:E32,"",0,1)),""))))</f>
        <v/>
      </c>
      <c r="L32" s="2">
        <f>IF(G32="","",IF(J32="Sim",INT((COUNTIF($J$4:J32,"Sim")-1)/2)+1,INT(COUNTIF($J$4:J31,"Sim")/2)+1))</f>
        <v>13</v>
      </c>
      <c r="M32" s="12" t="str" cm="1">
        <f t="array" ref="M32">IF(J32&lt;&gt;"Sim","",IF(MOD(COUNTIF($J$4:J32,"Sim"),2)&lt;&gt;0,"",IFERROR((SUMIFS($F$4:F32,$L$4:L32,L32)-_xlfn.XLOOKUP(L32,$L$4:L32,$F$4:F32,"",0,1))/(G32-_xlfn.XLOOKUP(L32,$L$4:L32,$G$4:G32,"",0,1)),"")))</f>
        <v/>
      </c>
    </row>
    <row r="33" spans="2:13" x14ac:dyDescent="0.35">
      <c r="B33" s="10">
        <v>46450</v>
      </c>
      <c r="C33" s="3" t="s">
        <v>22</v>
      </c>
      <c r="D33" s="2" t="s">
        <v>7</v>
      </c>
      <c r="E33" s="4">
        <v>15</v>
      </c>
      <c r="F33" s="20">
        <v>88.35</v>
      </c>
      <c r="G33" s="6">
        <v>56272</v>
      </c>
      <c r="H33" s="7">
        <f>IFERROR(Tabela1[[#This Row],[Valor]]/Tabela1[[#This Row],[Litros]],"")</f>
        <v>5.89</v>
      </c>
      <c r="I33" s="2">
        <f>IF(Tabela1[[#This Row],[Km Atual]]="","",IFERROR(Tabela1[[#This Row],[Km Atual]]-G32,""))</f>
        <v>180</v>
      </c>
      <c r="J33" s="2" t="s">
        <v>16</v>
      </c>
      <c r="K33" s="4" t="str" cm="1">
        <f t="array" ref="K33">IF(J33&lt;&gt;"Sim","",IF(MOD(COUNTIF($J$4:J33,"Sim"),2)&lt;&gt;0,"",IF(COUNTIFS($L$4:L33,L33,$D$4:D33,"&lt;&gt;"&amp;D33)&gt;0,"",IFERROR((G33-_xlfn.XLOOKUP(L33,$L$4:L33,$G$4:G33,"",0,1))/(SUMIFS($E$4:E33,$L$4:L33,L33)-_xlfn.XLOOKUP(L33,$L$4:L33,$E$4:E33,"",0,1)),""))))</f>
        <v/>
      </c>
      <c r="L33" s="2">
        <f>IF(G33="","",IF(J33="Sim",INT((COUNTIF($J$4:J33,"Sim")-1)/2)+1,INT(COUNTIF($J$4:J32,"Sim")/2)+1))</f>
        <v>13</v>
      </c>
      <c r="M33" s="12" t="str" cm="1">
        <f t="array" ref="M33">IF(J33&lt;&gt;"Sim","",IF(MOD(COUNTIF($J$4:J33,"Sim"),2)&lt;&gt;0,"",IFERROR((SUMIFS($F$4:F33,$L$4:L33,L33)-_xlfn.XLOOKUP(L33,$L$4:L33,$F$4:F33,"",0,1))/(G33-_xlfn.XLOOKUP(L33,$L$4:L33,$G$4:G33,"",0,1)),"")))</f>
        <v/>
      </c>
    </row>
    <row r="34" spans="2:13" x14ac:dyDescent="0.35">
      <c r="B34" s="10">
        <v>46464</v>
      </c>
      <c r="C34" s="3" t="s">
        <v>21</v>
      </c>
      <c r="D34" s="2" t="s">
        <v>8</v>
      </c>
      <c r="E34" s="4">
        <v>42.5</v>
      </c>
      <c r="F34" s="20">
        <v>169.58</v>
      </c>
      <c r="G34" s="6">
        <v>56697</v>
      </c>
      <c r="H34" s="7">
        <f>IFERROR(Tabela1[[#This Row],[Valor]]/Tabela1[[#This Row],[Litros]],"")</f>
        <v>3.990117647058824</v>
      </c>
      <c r="I34" s="2">
        <f>IF(Tabela1[[#This Row],[Km Atual]]="","",IFERROR(Tabela1[[#This Row],[Km Atual]]-G33,""))</f>
        <v>425</v>
      </c>
      <c r="J34" s="2" t="s">
        <v>15</v>
      </c>
      <c r="K34" s="4" t="str" cm="1">
        <f t="array" ref="K34">IF(J34&lt;&gt;"Sim","",IF(MOD(COUNTIF($J$4:J34,"Sim"),2)&lt;&gt;0,"",IF(COUNTIFS($L$4:L34,L34,$D$4:D34,"&lt;&gt;"&amp;D34)&gt;0,"",IFERROR((G34-_xlfn.XLOOKUP(L34,$L$4:L34,$G$4:G34,"",0,1))/(SUMIFS($E$4:E34,$L$4:L34,L34)-_xlfn.XLOOKUP(L34,$L$4:L34,$E$4:E34,"",0,1)),""))))</f>
        <v/>
      </c>
      <c r="L34" s="2">
        <f>IF(G34="","",IF(J34="Sim",INT((COUNTIF($J$4:J34,"Sim")-1)/2)+1,INT(COUNTIF($J$4:J33,"Sim")/2)+1))</f>
        <v>13</v>
      </c>
      <c r="M34" s="12" cm="1">
        <f t="array" ref="M34">IF(J34&lt;&gt;"Sim","",IF(MOD(COUNTIF($J$4:J34,"Sim"),2)&lt;&gt;0,"",IFERROR((SUMIFS($F$4:F34,$L$4:L34,L34)-_xlfn.XLOOKUP(L34,$L$4:L34,$F$4:F34,"",0,1))/(G34-_xlfn.XLOOKUP(L34,$L$4:L34,$G$4:G34,"",0,1)),"")))</f>
        <v>0.42633057851239681</v>
      </c>
    </row>
    <row r="35" spans="2:13" x14ac:dyDescent="0.35">
      <c r="B35" s="10">
        <v>46479</v>
      </c>
      <c r="C35" s="3" t="s">
        <v>21</v>
      </c>
      <c r="D35" s="2" t="s">
        <v>8</v>
      </c>
      <c r="E35" s="4">
        <v>40</v>
      </c>
      <c r="F35" s="20">
        <v>159.6</v>
      </c>
      <c r="G35" s="6">
        <v>57097</v>
      </c>
      <c r="H35" s="7">
        <f>IFERROR(Tabela1[[#This Row],[Valor]]/Tabela1[[#This Row],[Litros]],"")</f>
        <v>3.9899999999999998</v>
      </c>
      <c r="I35" s="2">
        <f>IF(Tabela1[[#This Row],[Km Atual]]="","",IFERROR(Tabela1[[#This Row],[Km Atual]]-G34,""))</f>
        <v>400</v>
      </c>
      <c r="J35" s="2" t="s">
        <v>15</v>
      </c>
      <c r="K35" s="4" t="str" cm="1">
        <f t="array" ref="K35">IF(J35&lt;&gt;"Sim","",IF(MOD(COUNTIF($J$4:J35,"Sim"),2)&lt;&gt;0,"",IF(COUNTIFS($L$4:L35,L35,$D$4:D35,"&lt;&gt;"&amp;D35)&gt;0,"",IFERROR((G35-_xlfn.XLOOKUP(L35,$L$4:L35,$G$4:G35,"",0,1))/(SUMIFS($E$4:E35,$L$4:L35,L35)-_xlfn.XLOOKUP(L35,$L$4:L35,$E$4:E35,"",0,1)),""))))</f>
        <v/>
      </c>
      <c r="L35" s="2">
        <f>IF(G35="","",IF(J35="Sim",INT((COUNTIF($J$4:J35,"Sim")-1)/2)+1,INT(COUNTIF($J$4:J34,"Sim")/2)+1))</f>
        <v>14</v>
      </c>
      <c r="M35" s="12" t="str" cm="1">
        <f t="array" ref="M35">IF(J35&lt;&gt;"Sim","",IF(MOD(COUNTIF($J$4:J35,"Sim"),2)&lt;&gt;0,"",IFERROR((SUMIFS($F$4:F35,$L$4:L35,L35)-_xlfn.XLOOKUP(L35,$L$4:L35,$F$4:F35,"",0,1))/(G35-_xlfn.XLOOKUP(L35,$L$4:L35,$G$4:G35,"",0,1)),"")))</f>
        <v/>
      </c>
    </row>
    <row r="36" spans="2:13" x14ac:dyDescent="0.35">
      <c r="B36" s="10">
        <v>46493</v>
      </c>
      <c r="C36" s="3" t="s">
        <v>19</v>
      </c>
      <c r="D36" s="2" t="s">
        <v>8</v>
      </c>
      <c r="E36" s="4">
        <v>41</v>
      </c>
      <c r="F36" s="20">
        <v>163.59</v>
      </c>
      <c r="G36" s="6">
        <v>57507</v>
      </c>
      <c r="H36" s="7">
        <f>IFERROR(Tabela1[[#This Row],[Valor]]/Tabela1[[#This Row],[Litros]],"")</f>
        <v>3.99</v>
      </c>
      <c r="I36" s="2">
        <f>IF(Tabela1[[#This Row],[Km Atual]]="","",IFERROR(Tabela1[[#This Row],[Km Atual]]-G35,""))</f>
        <v>410</v>
      </c>
      <c r="J36" s="2" t="s">
        <v>15</v>
      </c>
      <c r="K36" s="4" cm="1">
        <f t="array" ref="K36">IF(J36&lt;&gt;"Sim","",IF(MOD(COUNTIF($J$4:J36,"Sim"),2)&lt;&gt;0,"",IF(COUNTIFS($L$4:L36,L36,$D$4:D36,"&lt;&gt;"&amp;D36)&gt;0,"",IFERROR((G36-_xlfn.XLOOKUP(L36,$L$4:L36,$G$4:G36,"",0,1))/(SUMIFS($E$4:E36,$L$4:L36,L36)-_xlfn.XLOOKUP(L36,$L$4:L36,$E$4:E36,"",0,1)),""))))</f>
        <v>10</v>
      </c>
      <c r="L36" s="2">
        <f>IF(G36="","",IF(J36="Sim",INT((COUNTIF($J$4:J36,"Sim")-1)/2)+1,INT(COUNTIF($J$4:J35,"Sim")/2)+1))</f>
        <v>14</v>
      </c>
      <c r="M36" s="12" cm="1">
        <f t="array" ref="M36">IF(J36&lt;&gt;"Sim","",IF(MOD(COUNTIF($J$4:J36,"Sim"),2)&lt;&gt;0,"",IFERROR((SUMIFS($F$4:F36,$L$4:L36,L36)-_xlfn.XLOOKUP(L36,$L$4:L36,$F$4:F36,"",0,1))/(G36-_xlfn.XLOOKUP(L36,$L$4:L36,$G$4:G36,"",0,1)),"")))</f>
        <v>0.39900000000000002</v>
      </c>
    </row>
    <row r="37" spans="2:13" x14ac:dyDescent="0.35">
      <c r="B37" s="10">
        <v>46509</v>
      </c>
      <c r="C37" s="3" t="s">
        <v>23</v>
      </c>
      <c r="D37" s="2" t="s">
        <v>9</v>
      </c>
      <c r="E37" s="4">
        <v>49</v>
      </c>
      <c r="F37" s="20">
        <v>294</v>
      </c>
      <c r="G37" s="6">
        <v>58095</v>
      </c>
      <c r="H37" s="7">
        <f>IFERROR(Tabela1[[#This Row],[Valor]]/Tabela1[[#This Row],[Litros]],"")</f>
        <v>6</v>
      </c>
      <c r="I37" s="2">
        <f>IF(Tabela1[[#This Row],[Km Atual]]="","",IFERROR(Tabela1[[#This Row],[Km Atual]]-G36,""))</f>
        <v>588</v>
      </c>
      <c r="J37" s="2" t="s">
        <v>15</v>
      </c>
      <c r="K37" s="4" t="str" cm="1">
        <f t="array" ref="K37">IF(J37&lt;&gt;"Sim","",IF(MOD(COUNTIF($J$4:J37,"Sim"),2)&lt;&gt;0,"",IF(COUNTIFS($L$4:L37,L37,$D$4:D37,"&lt;&gt;"&amp;D37)&gt;0,"",IFERROR((G37-_xlfn.XLOOKUP(L37,$L$4:L37,$G$4:G37,"",0,1))/(SUMIFS($E$4:E37,$L$4:L37,L37)-_xlfn.XLOOKUP(L37,$L$4:L37,$E$4:E37,"",0,1)),""))))</f>
        <v/>
      </c>
      <c r="L37" s="2">
        <f>IF(G37="","",IF(J37="Sim",INT((COUNTIF($J$4:J37,"Sim")-1)/2)+1,INT(COUNTIF($J$4:J36,"Sim")/2)+1))</f>
        <v>15</v>
      </c>
      <c r="M37" s="12" t="str" cm="1">
        <f t="array" ref="M37">IF(J37&lt;&gt;"Sim","",IF(MOD(COUNTIF($J$4:J37,"Sim"),2)&lt;&gt;0,"",IFERROR((SUMIFS($F$4:F37,$L$4:L37,L37)-_xlfn.XLOOKUP(L37,$L$4:L37,$F$4:F37,"",0,1))/(G37-_xlfn.XLOOKUP(L37,$L$4:L37,$G$4:G37,"",0,1)),"")))</f>
        <v/>
      </c>
    </row>
    <row r="38" spans="2:13" x14ac:dyDescent="0.35">
      <c r="B38" s="10">
        <v>46523</v>
      </c>
      <c r="C38" s="3" t="s">
        <v>23</v>
      </c>
      <c r="D38" s="2" t="s">
        <v>9</v>
      </c>
      <c r="E38" s="4">
        <v>50</v>
      </c>
      <c r="F38" s="20">
        <v>300</v>
      </c>
      <c r="G38" s="6">
        <v>58695</v>
      </c>
      <c r="H38" s="7">
        <f>IFERROR(Tabela1[[#This Row],[Valor]]/Tabela1[[#This Row],[Litros]],"")</f>
        <v>6</v>
      </c>
      <c r="I38" s="2">
        <f>IF(Tabela1[[#This Row],[Km Atual]]="","",IFERROR(Tabela1[[#This Row],[Km Atual]]-G37,""))</f>
        <v>600</v>
      </c>
      <c r="J38" s="2" t="s">
        <v>15</v>
      </c>
      <c r="K38" s="4" cm="1">
        <f t="array" ref="K38">IF(J38&lt;&gt;"Sim","",IF(MOD(COUNTIF($J$4:J38,"Sim"),2)&lt;&gt;0,"",IF(COUNTIFS($L$4:L38,L38,$D$4:D38,"&lt;&gt;"&amp;D38)&gt;0,"",IFERROR((G38-_xlfn.XLOOKUP(L38,$L$4:L38,$G$4:G38,"",0,1))/(SUMIFS($E$4:E38,$L$4:L38,L38)-_xlfn.XLOOKUP(L38,$L$4:L38,$E$4:E38,"",0,1)),""))))</f>
        <v>12</v>
      </c>
      <c r="L38" s="2">
        <f>IF(G38="","",IF(J38="Sim",INT((COUNTIF($J$4:J38,"Sim")-1)/2)+1,INT(COUNTIF($J$4:J37,"Sim")/2)+1))</f>
        <v>15</v>
      </c>
      <c r="M38" s="12" cm="1">
        <f t="array" ref="M38">IF(J38&lt;&gt;"Sim","",IF(MOD(COUNTIF($J$4:J38,"Sim"),2)&lt;&gt;0,"",IFERROR((SUMIFS($F$4:F38,$L$4:L38,L38)-_xlfn.XLOOKUP(L38,$L$4:L38,$F$4:F38,"",0,1))/(G38-_xlfn.XLOOKUP(L38,$L$4:L38,$G$4:G38,"",0,1)),"")))</f>
        <v>0.5</v>
      </c>
    </row>
    <row r="39" spans="2:13" x14ac:dyDescent="0.35">
      <c r="B39" s="10">
        <v>46539</v>
      </c>
      <c r="C39" s="3" t="s">
        <v>21</v>
      </c>
      <c r="D39" s="2" t="s">
        <v>8</v>
      </c>
      <c r="E39" s="4">
        <v>42</v>
      </c>
      <c r="F39" s="20">
        <v>167.58</v>
      </c>
      <c r="G39" s="6">
        <v>59115</v>
      </c>
      <c r="H39" s="7">
        <f>IFERROR(Tabela1[[#This Row],[Valor]]/Tabela1[[#This Row],[Litros]],"")</f>
        <v>3.99</v>
      </c>
      <c r="I39" s="2">
        <f>IF(Tabela1[[#This Row],[Km Atual]]="","",IFERROR(Tabela1[[#This Row],[Km Atual]]-G38,""))</f>
        <v>420</v>
      </c>
      <c r="J39" s="2" t="s">
        <v>15</v>
      </c>
      <c r="K39" s="4" t="str" cm="1">
        <f t="array" ref="K39">IF(J39&lt;&gt;"Sim","",IF(MOD(COUNTIF($J$4:J39,"Sim"),2)&lt;&gt;0,"",IF(COUNTIFS($L$4:L39,L39,$D$4:D39,"&lt;&gt;"&amp;D39)&gt;0,"",IFERROR((G39-_xlfn.XLOOKUP(L39,$L$4:L39,$G$4:G39,"",0,1))/(SUMIFS($E$4:E39,$L$4:L39,L39)-_xlfn.XLOOKUP(L39,$L$4:L39,$E$4:E39,"",0,1)),""))))</f>
        <v/>
      </c>
      <c r="L39" s="2">
        <f>IF(G39="","",IF(J39="Sim",INT((COUNTIF($J$4:J39,"Sim")-1)/2)+1,INT(COUNTIF($J$4:J38,"Sim")/2)+1))</f>
        <v>16</v>
      </c>
      <c r="M39" s="12" t="str" cm="1">
        <f t="array" ref="M39">IF(J39&lt;&gt;"Sim","",IF(MOD(COUNTIF($J$4:J39,"Sim"),2)&lt;&gt;0,"",IFERROR((SUMIFS($F$4:F39,$L$4:L39,L39)-_xlfn.XLOOKUP(L39,$L$4:L39,$F$4:F39,"",0,1))/(G39-_xlfn.XLOOKUP(L39,$L$4:L39,$G$4:G39,"",0,1)),"")))</f>
        <v/>
      </c>
    </row>
    <row r="40" spans="2:13" x14ac:dyDescent="0.35">
      <c r="B40" s="10">
        <v>46553</v>
      </c>
      <c r="C40" s="3" t="s">
        <v>21</v>
      </c>
      <c r="D40" s="2" t="s">
        <v>8</v>
      </c>
      <c r="E40" s="4">
        <v>39.5</v>
      </c>
      <c r="F40" s="20">
        <v>157.61000000000001</v>
      </c>
      <c r="G40" s="6">
        <v>59510</v>
      </c>
      <c r="H40" s="7">
        <f>IFERROR(Tabela1[[#This Row],[Valor]]/Tabela1[[#This Row],[Litros]],"")</f>
        <v>3.9901265822784815</v>
      </c>
      <c r="I40" s="2">
        <f>IF(Tabela1[[#This Row],[Km Atual]]="","",IFERROR(Tabela1[[#This Row],[Km Atual]]-G39,""))</f>
        <v>395</v>
      </c>
      <c r="J40" s="2" t="s">
        <v>15</v>
      </c>
      <c r="K40" s="4" cm="1">
        <f t="array" ref="K40">IF(J40&lt;&gt;"Sim","",IF(MOD(COUNTIF($J$4:J40,"Sim"),2)&lt;&gt;0,"",IF(COUNTIFS($L$4:L40,L40,$D$4:D40,"&lt;&gt;"&amp;D40)&gt;0,"",IFERROR((G40-_xlfn.XLOOKUP(L40,$L$4:L40,$G$4:G40,"",0,1))/(SUMIFS($E$4:E40,$L$4:L40,L40)-_xlfn.XLOOKUP(L40,$L$4:L40,$E$4:E40,"",0,1)),""))))</f>
        <v>10</v>
      </c>
      <c r="L40" s="2">
        <f>IF(G40="","",IF(J40="Sim",INT((COUNTIF($J$4:J40,"Sim")-1)/2)+1,INT(COUNTIF($J$4:J39,"Sim")/2)+1))</f>
        <v>16</v>
      </c>
      <c r="M40" s="12" cm="1">
        <f t="array" ref="M40">IF(J40&lt;&gt;"Sim","",IF(MOD(COUNTIF($J$4:J40,"Sim"),2)&lt;&gt;0,"",IFERROR((SUMIFS($F$4:F40,$L$4:L40,L40)-_xlfn.XLOOKUP(L40,$L$4:L40,$F$4:F40,"",0,1))/(G40-_xlfn.XLOOKUP(L40,$L$4:L40,$G$4:G40,"",0,1)),"")))</f>
        <v>0.3990126582278482</v>
      </c>
    </row>
    <row r="41" spans="2:13" x14ac:dyDescent="0.35">
      <c r="B41" s="10">
        <v>46569</v>
      </c>
      <c r="C41" s="3" t="s">
        <v>24</v>
      </c>
      <c r="D41" s="2" t="s">
        <v>10</v>
      </c>
      <c r="E41" s="4">
        <v>15</v>
      </c>
      <c r="F41" s="20">
        <v>70.349999999999994</v>
      </c>
      <c r="G41" s="6">
        <v>59720</v>
      </c>
      <c r="H41" s="7">
        <f>IFERROR(Tabela1[[#This Row],[Valor]]/Tabela1[[#This Row],[Litros]],"")</f>
        <v>4.6899999999999995</v>
      </c>
      <c r="I41" s="2">
        <f>IF(Tabela1[[#This Row],[Km Atual]]="","",IFERROR(Tabela1[[#This Row],[Km Atual]]-G40,""))</f>
        <v>210</v>
      </c>
      <c r="J41" s="2" t="s">
        <v>15</v>
      </c>
      <c r="K41" s="4" t="str" cm="1">
        <f t="array" ref="K41">IF(J41&lt;&gt;"Sim","",IF(MOD(COUNTIF($J$4:J41,"Sim"),2)&lt;&gt;0,"",IF(COUNTIFS($L$4:L41,L41,$D$4:D41,"&lt;&gt;"&amp;D41)&gt;0,"",IFERROR((G41-_xlfn.XLOOKUP(L41,$L$4:L41,$G$4:G41,"",0,1))/(SUMIFS($E$4:E41,$L$4:L41,L41)-_xlfn.XLOOKUP(L41,$L$4:L41,$E$4:E41,"",0,1)),""))))</f>
        <v/>
      </c>
      <c r="L41" s="2">
        <f>IF(G41="","",IF(J41="Sim",INT((COUNTIF($J$4:J41,"Sim")-1)/2)+1,INT(COUNTIF($J$4:J40,"Sim")/2)+1))</f>
        <v>17</v>
      </c>
      <c r="M41" s="12" t="str" cm="1">
        <f t="array" ref="M41">IF(J41&lt;&gt;"Sim","",IF(MOD(COUNTIF($J$4:J41,"Sim"),2)&lt;&gt;0,"",IFERROR((SUMIFS($F$4:F41,$L$4:L41,L41)-_xlfn.XLOOKUP(L41,$L$4:L41,$F$4:F41,"",0,1))/(G41-_xlfn.XLOOKUP(L41,$L$4:L41,$G$4:G41,"",0,1)),"")))</f>
        <v/>
      </c>
    </row>
    <row r="42" spans="2:13" x14ac:dyDescent="0.35">
      <c r="B42" s="10">
        <v>46583</v>
      </c>
      <c r="C42" s="3" t="s">
        <v>24</v>
      </c>
      <c r="D42" s="2" t="s">
        <v>10</v>
      </c>
      <c r="E42" s="4">
        <v>14.8</v>
      </c>
      <c r="F42" s="20">
        <v>69.41</v>
      </c>
      <c r="G42" s="6">
        <v>59927</v>
      </c>
      <c r="H42" s="7">
        <f>IFERROR(Tabela1[[#This Row],[Valor]]/Tabela1[[#This Row],[Litros]],"")</f>
        <v>4.6898648648648642</v>
      </c>
      <c r="I42" s="2">
        <f>IF(Tabela1[[#This Row],[Km Atual]]="","",IFERROR(Tabela1[[#This Row],[Km Atual]]-G41,""))</f>
        <v>207</v>
      </c>
      <c r="J42" s="2" t="s">
        <v>15</v>
      </c>
      <c r="K42" s="4" cm="1">
        <f t="array" ref="K42">IF(J42&lt;&gt;"Sim","",IF(MOD(COUNTIF($J$4:J42,"Sim"),2)&lt;&gt;0,"",IF(COUNTIFS($L$4:L42,L42,$D$4:D42,"&lt;&gt;"&amp;D42)&gt;0,"",IFERROR((G42-_xlfn.XLOOKUP(L42,$L$4:L42,$G$4:G42,"",0,1))/(SUMIFS($E$4:E42,$L$4:L42,L42)-_xlfn.XLOOKUP(L42,$L$4:L42,$E$4:E42,"",0,1)),""))))</f>
        <v>13.986486486486486</v>
      </c>
      <c r="L42" s="2">
        <f>IF(G42="","",IF(J42="Sim",INT((COUNTIF($J$4:J42,"Sim")-1)/2)+1,INT(COUNTIF($J$4:J41,"Sim")/2)+1))</f>
        <v>17</v>
      </c>
      <c r="M42" s="12" cm="1">
        <f t="array" ref="M42">IF(J42&lt;&gt;"Sim","",IF(MOD(COUNTIF($J$4:J42,"Sim"),2)&lt;&gt;0,"",IFERROR((SUMIFS($F$4:F42,$L$4:L42,L42)-_xlfn.XLOOKUP(L42,$L$4:L42,$F$4:F42,"",0,1))/(G42-_xlfn.XLOOKUP(L42,$L$4:L42,$G$4:G42,"",0,1)),"")))</f>
        <v>0.33531400966183572</v>
      </c>
    </row>
    <row r="43" spans="2:13" x14ac:dyDescent="0.35">
      <c r="B43" s="10">
        <v>46600</v>
      </c>
      <c r="C43" s="3" t="s">
        <v>19</v>
      </c>
      <c r="D43" s="2" t="s">
        <v>7</v>
      </c>
      <c r="E43" s="4">
        <v>18</v>
      </c>
      <c r="F43" s="20">
        <v>106.02</v>
      </c>
      <c r="G43" s="6">
        <v>60143</v>
      </c>
      <c r="H43" s="7">
        <f>IFERROR(Tabela1[[#This Row],[Valor]]/Tabela1[[#This Row],[Litros]],"")</f>
        <v>5.89</v>
      </c>
      <c r="I43" s="2">
        <f>IF(Tabela1[[#This Row],[Km Atual]]="","",IFERROR(Tabela1[[#This Row],[Km Atual]]-G42,""))</f>
        <v>216</v>
      </c>
      <c r="J43" s="2" t="s">
        <v>16</v>
      </c>
      <c r="K43" s="4" t="str" cm="1">
        <f t="array" ref="K43">IF(J43&lt;&gt;"Sim","",IF(MOD(COUNTIF($J$4:J43,"Sim"),2)&lt;&gt;0,"",IF(COUNTIFS($L$4:L43,L43,$D$4:D43,"&lt;&gt;"&amp;D43)&gt;0,"",IFERROR((G43-_xlfn.XLOOKUP(L43,$L$4:L43,$G$4:G43,"",0,1))/(SUMIFS($E$4:E43,$L$4:L43,L43)-_xlfn.XLOOKUP(L43,$L$4:L43,$E$4:E43,"",0,1)),""))))</f>
        <v/>
      </c>
      <c r="L43" s="2">
        <f>IF(G43="","",IF(J43="Sim",INT((COUNTIF($J$4:J43,"Sim")-1)/2)+1,INT(COUNTIF($J$4:J42,"Sim")/2)+1))</f>
        <v>18</v>
      </c>
      <c r="M43" s="12" t="str" cm="1">
        <f t="array" ref="M43">IF(J43&lt;&gt;"Sim","",IF(MOD(COUNTIF($J$4:J43,"Sim"),2)&lt;&gt;0,"",IFERROR((SUMIFS($F$4:F43,$L$4:L43,L43)-_xlfn.XLOOKUP(L43,$L$4:L43,$F$4:F43,"",0,1))/(G43-_xlfn.XLOOKUP(L43,$L$4:L43,$G$4:G43,"",0,1)),"")))</f>
        <v/>
      </c>
    </row>
    <row r="44" spans="2:13" x14ac:dyDescent="0.35">
      <c r="B44" s="10">
        <v>46614</v>
      </c>
      <c r="C44" s="3" t="s">
        <v>19</v>
      </c>
      <c r="D44" s="2" t="s">
        <v>8</v>
      </c>
      <c r="E44" s="4">
        <v>42</v>
      </c>
      <c r="F44" s="20">
        <v>167.58</v>
      </c>
      <c r="G44" s="6">
        <v>60563</v>
      </c>
      <c r="H44" s="7">
        <f>IFERROR(Tabela1[[#This Row],[Valor]]/Tabela1[[#This Row],[Litros]],"")</f>
        <v>3.99</v>
      </c>
      <c r="I44" s="2">
        <f>IF(Tabela1[[#This Row],[Km Atual]]="","",IFERROR(Tabela1[[#This Row],[Km Atual]]-G43,""))</f>
        <v>420</v>
      </c>
      <c r="J44" s="2" t="s">
        <v>15</v>
      </c>
      <c r="K44" s="4" t="str" cm="1">
        <f t="array" ref="K44">IF(J44&lt;&gt;"Sim","",IF(MOD(COUNTIF($J$4:J44,"Sim"),2)&lt;&gt;0,"",IF(COUNTIFS($L$4:L44,L44,$D$4:D44,"&lt;&gt;"&amp;D44)&gt;0,"",IFERROR((G44-_xlfn.XLOOKUP(L44,$L$4:L44,$G$4:G44,"",0,1))/(SUMIFS($E$4:E44,$L$4:L44,L44)-_xlfn.XLOOKUP(L44,$L$4:L44,$E$4:E44,"",0,1)),""))))</f>
        <v/>
      </c>
      <c r="L44" s="2">
        <f>IF(G44="","",IF(J44="Sim",INT((COUNTIF($J$4:J44,"Sim")-1)/2)+1,INT(COUNTIF($J$4:J43,"Sim")/2)+1))</f>
        <v>18</v>
      </c>
      <c r="M44" s="12" t="str" cm="1">
        <f t="array" ref="M44">IF(J44&lt;&gt;"Sim","",IF(MOD(COUNTIF($J$4:J44,"Sim"),2)&lt;&gt;0,"",IFERROR((SUMIFS($F$4:F44,$L$4:L44,L44)-_xlfn.XLOOKUP(L44,$L$4:L44,$F$4:F44,"",0,1))/(G44-_xlfn.XLOOKUP(L44,$L$4:L44,$G$4:G44,"",0,1)),"")))</f>
        <v/>
      </c>
    </row>
    <row r="45" spans="2:13" x14ac:dyDescent="0.35">
      <c r="B45" s="10">
        <v>46628</v>
      </c>
      <c r="C45" s="3" t="s">
        <v>21</v>
      </c>
      <c r="D45" s="2" t="s">
        <v>8</v>
      </c>
      <c r="E45" s="4">
        <v>40.5</v>
      </c>
      <c r="F45" s="20">
        <v>161.6</v>
      </c>
      <c r="G45" s="6">
        <v>60968</v>
      </c>
      <c r="H45" s="7">
        <f>IFERROR(Tabela1[[#This Row],[Valor]]/Tabela1[[#This Row],[Litros]],"")</f>
        <v>3.9901234567901231</v>
      </c>
      <c r="I45" s="2">
        <f>IF(Tabela1[[#This Row],[Km Atual]]="","",IFERROR(Tabela1[[#This Row],[Km Atual]]-G44,""))</f>
        <v>405</v>
      </c>
      <c r="J45" s="2" t="s">
        <v>15</v>
      </c>
      <c r="K45" s="4" t="str" cm="1">
        <f t="array" ref="K45">IF(J45&lt;&gt;"Sim","",IF(MOD(COUNTIF($J$4:J45,"Sim"),2)&lt;&gt;0,"",IF(COUNTIFS($L$4:L45,L45,$D$4:D45,"&lt;&gt;"&amp;D45)&gt;0,"",IFERROR((G45-_xlfn.XLOOKUP(L45,$L$4:L45,$G$4:G45,"",0,1))/(SUMIFS($E$4:E45,$L$4:L45,L45)-_xlfn.XLOOKUP(L45,$L$4:L45,$E$4:E45,"",0,1)),""))))</f>
        <v/>
      </c>
      <c r="L45" s="2">
        <f>IF(G45="","",IF(J45="Sim",INT((COUNTIF($J$4:J45,"Sim")-1)/2)+1,INT(COUNTIF($J$4:J44,"Sim")/2)+1))</f>
        <v>18</v>
      </c>
      <c r="M45" s="12" cm="1">
        <f t="array" ref="M45">IF(J45&lt;&gt;"Sim","",IF(MOD(COUNTIF($J$4:J45,"Sim"),2)&lt;&gt;0,"",IFERROR((SUMIFS($F$4:F45,$L$4:L45,L45)-_xlfn.XLOOKUP(L45,$L$4:L45,$F$4:F45,"",0,1))/(G45-_xlfn.XLOOKUP(L45,$L$4:L45,$G$4:G45,"",0,1)),"")))</f>
        <v>0.3990060606060607</v>
      </c>
    </row>
    <row r="46" spans="2:13" x14ac:dyDescent="0.35">
      <c r="B46" s="10">
        <v>46642</v>
      </c>
      <c r="C46" s="3" t="s">
        <v>21</v>
      </c>
      <c r="D46" s="2" t="s">
        <v>8</v>
      </c>
      <c r="E46" s="4">
        <v>41</v>
      </c>
      <c r="F46" s="20">
        <v>163.59</v>
      </c>
      <c r="G46" s="6">
        <v>61378</v>
      </c>
      <c r="H46" s="7">
        <f>IFERROR(Tabela1[[#This Row],[Valor]]/Tabela1[[#This Row],[Litros]],"")</f>
        <v>3.99</v>
      </c>
      <c r="I46" s="2">
        <f>IF(Tabela1[[#This Row],[Km Atual]]="","",IFERROR(Tabela1[[#This Row],[Km Atual]]-G45,""))</f>
        <v>410</v>
      </c>
      <c r="J46" s="2" t="s">
        <v>15</v>
      </c>
      <c r="K46" s="4" t="str" cm="1">
        <f t="array" ref="K46">IF(J46&lt;&gt;"Sim","",IF(MOD(COUNTIF($J$4:J46,"Sim"),2)&lt;&gt;0,"",IF(COUNTIFS($L$4:L46,L46,$D$4:D46,"&lt;&gt;"&amp;D46)&gt;0,"",IFERROR((G46-_xlfn.XLOOKUP(L46,$L$4:L46,$G$4:G46,"",0,1))/(SUMIFS($E$4:E46,$L$4:L46,L46)-_xlfn.XLOOKUP(L46,$L$4:L46,$E$4:E46,"",0,1)),""))))</f>
        <v/>
      </c>
      <c r="L46" s="2">
        <f>IF(G46="","",IF(J46="Sim",INT((COUNTIF($J$4:J46,"Sim")-1)/2)+1,INT(COUNTIF($J$4:J45,"Sim")/2)+1))</f>
        <v>19</v>
      </c>
      <c r="M46" s="12" t="str" cm="1">
        <f t="array" ref="M46">IF(J46&lt;&gt;"Sim","",IF(MOD(COUNTIF($J$4:J46,"Sim"),2)&lt;&gt;0,"",IFERROR((SUMIFS($F$4:F46,$L$4:L46,L46)-_xlfn.XLOOKUP(L46,$L$4:L46,$F$4:F46,"",0,1))/(G46-_xlfn.XLOOKUP(L46,$L$4:L46,$G$4:G46,"",0,1)),"")))</f>
        <v/>
      </c>
    </row>
    <row r="47" spans="2:13" x14ac:dyDescent="0.35">
      <c r="B47" s="10">
        <v>46656</v>
      </c>
      <c r="C47" s="3" t="s">
        <v>20</v>
      </c>
      <c r="D47" s="2" t="s">
        <v>7</v>
      </c>
      <c r="E47" s="4">
        <v>43</v>
      </c>
      <c r="F47" s="20">
        <v>253.27</v>
      </c>
      <c r="G47" s="6">
        <v>61894</v>
      </c>
      <c r="H47" s="7">
        <f>IFERROR(Tabela1[[#This Row],[Valor]]/Tabela1[[#This Row],[Litros]],"")</f>
        <v>5.8900000000000006</v>
      </c>
      <c r="I47" s="2">
        <f>IF(Tabela1[[#This Row],[Km Atual]]="","",IFERROR(Tabela1[[#This Row],[Km Atual]]-G46,""))</f>
        <v>516</v>
      </c>
      <c r="J47" s="2" t="s">
        <v>15</v>
      </c>
      <c r="K47" s="4" t="str" cm="1">
        <f t="array" ref="K47">IF(J47&lt;&gt;"Sim","",IF(MOD(COUNTIF($J$4:J47,"Sim"),2)&lt;&gt;0,"",IF(COUNTIFS($L$4:L47,L47,$D$4:D47,"&lt;&gt;"&amp;D47)&gt;0,"",IFERROR((G47-_xlfn.XLOOKUP(L47,$L$4:L47,$G$4:G47,"",0,1))/(SUMIFS($E$4:E47,$L$4:L47,L47)-_xlfn.XLOOKUP(L47,$L$4:L47,$E$4:E47,"",0,1)),""))))</f>
        <v/>
      </c>
      <c r="L47" s="2">
        <f>IF(G47="","",IF(J47="Sim",INT((COUNTIF($J$4:J47,"Sim")-1)/2)+1,INT(COUNTIF($J$4:J46,"Sim")/2)+1))</f>
        <v>19</v>
      </c>
      <c r="M47" s="12" cm="1">
        <f t="array" ref="M47">IF(J47&lt;&gt;"Sim","",IF(MOD(COUNTIF($J$4:J47,"Sim"),2)&lt;&gt;0,"",IFERROR((SUMIFS($F$4:F47,$L$4:L47,L47)-_xlfn.XLOOKUP(L47,$L$4:L47,$F$4:F47,"",0,1))/(G47-_xlfn.XLOOKUP(L47,$L$4:L47,$G$4:G47,"",0,1)),"")))</f>
        <v>0.49083333333333334</v>
      </c>
    </row>
    <row r="48" spans="2:13" x14ac:dyDescent="0.35">
      <c r="B48" s="10">
        <v>46670</v>
      </c>
      <c r="C48" s="3" t="s">
        <v>20</v>
      </c>
      <c r="D48" s="2" t="s">
        <v>7</v>
      </c>
      <c r="E48" s="4">
        <v>41.5</v>
      </c>
      <c r="F48" s="20">
        <v>244.44</v>
      </c>
      <c r="G48" s="6">
        <v>62392</v>
      </c>
      <c r="H48" s="7">
        <f>IFERROR(Tabela1[[#This Row],[Valor]]/Tabela1[[#This Row],[Litros]],"")</f>
        <v>5.8901204819277106</v>
      </c>
      <c r="I48" s="2">
        <f>IF(Tabela1[[#This Row],[Km Atual]]="","",IFERROR(Tabela1[[#This Row],[Km Atual]]-G47,""))</f>
        <v>498</v>
      </c>
      <c r="J48" s="2" t="s">
        <v>15</v>
      </c>
      <c r="K48" s="4" t="str" cm="1">
        <f t="array" ref="K48">IF(J48&lt;&gt;"Sim","",IF(MOD(COUNTIF($J$4:J48,"Sim"),2)&lt;&gt;0,"",IF(COUNTIFS($L$4:L48,L48,$D$4:D48,"&lt;&gt;"&amp;D48)&gt;0,"",IFERROR((G48-_xlfn.XLOOKUP(L48,$L$4:L48,$G$4:G48,"",0,1))/(SUMIFS($E$4:E48,$L$4:L48,L48)-_xlfn.XLOOKUP(L48,$L$4:L48,$E$4:E48,"",0,1)),""))))</f>
        <v/>
      </c>
      <c r="L48" s="2">
        <f>IF(G48="","",IF(J48="Sim",INT((COUNTIF($J$4:J48,"Sim")-1)/2)+1,INT(COUNTIF($J$4:J47,"Sim")/2)+1))</f>
        <v>20</v>
      </c>
      <c r="M48" s="12" t="str" cm="1">
        <f t="array" ref="M48">IF(J48&lt;&gt;"Sim","",IF(MOD(COUNTIF($J$4:J48,"Sim"),2)&lt;&gt;0,"",IFERROR((SUMIFS($F$4:F48,$L$4:L48,L48)-_xlfn.XLOOKUP(L48,$L$4:L48,$F$4:F48,"",0,1))/(G48-_xlfn.XLOOKUP(L48,$L$4:L48,$G$4:G48,"",0,1)),"")))</f>
        <v/>
      </c>
    </row>
    <row r="49" spans="2:13" x14ac:dyDescent="0.35">
      <c r="B49" s="10">
        <v>46684</v>
      </c>
      <c r="C49" s="3" t="s">
        <v>19</v>
      </c>
      <c r="D49" s="2" t="s">
        <v>8</v>
      </c>
      <c r="E49" s="4">
        <v>42</v>
      </c>
      <c r="F49" s="20">
        <v>167.58</v>
      </c>
      <c r="G49" s="6">
        <v>62812</v>
      </c>
      <c r="H49" s="7">
        <f>IFERROR(Tabela1[[#This Row],[Valor]]/Tabela1[[#This Row],[Litros]],"")</f>
        <v>3.99</v>
      </c>
      <c r="I49" s="2">
        <f>IF(Tabela1[[#This Row],[Km Atual]]="","",IFERROR(Tabela1[[#This Row],[Km Atual]]-G48,""))</f>
        <v>420</v>
      </c>
      <c r="J49" s="2" t="s">
        <v>15</v>
      </c>
      <c r="K49" s="4" t="str" cm="1">
        <f t="array" ref="K49">IF(J49&lt;&gt;"Sim","",IF(MOD(COUNTIF($J$4:J49,"Sim"),2)&lt;&gt;0,"",IF(COUNTIFS($L$4:L49,L49,$D$4:D49,"&lt;&gt;"&amp;D49)&gt;0,"",IFERROR((G49-_xlfn.XLOOKUP(L49,$L$4:L49,$G$4:G49,"",0,1))/(SUMIFS($E$4:E49,$L$4:L49,L49)-_xlfn.XLOOKUP(L49,$L$4:L49,$E$4:E49,"",0,1)),""))))</f>
        <v/>
      </c>
      <c r="L49" s="2">
        <f>IF(G49="","",IF(J49="Sim",INT((COUNTIF($J$4:J49,"Sim")-1)/2)+1,INT(COUNTIF($J$4:J48,"Sim")/2)+1))</f>
        <v>20</v>
      </c>
      <c r="M49" s="12" cm="1">
        <f t="array" ref="M49">IF(J49&lt;&gt;"Sim","",IF(MOD(COUNTIF($J$4:J49,"Sim"),2)&lt;&gt;0,"",IFERROR((SUMIFS($F$4:F49,$L$4:L49,L49)-_xlfn.XLOOKUP(L49,$L$4:L49,$F$4:F49,"",0,1))/(G49-_xlfn.XLOOKUP(L49,$L$4:L49,$G$4:G49,"",0,1)),"")))</f>
        <v>0.39899999999999997</v>
      </c>
    </row>
    <row r="50" spans="2:13" x14ac:dyDescent="0.35">
      <c r="B50" s="10">
        <v>46698</v>
      </c>
      <c r="C50" s="3" t="s">
        <v>19</v>
      </c>
      <c r="D50" s="2" t="s">
        <v>8</v>
      </c>
      <c r="E50" s="4">
        <v>40</v>
      </c>
      <c r="F50" s="20">
        <v>159.6</v>
      </c>
      <c r="G50" s="6">
        <v>63212</v>
      </c>
      <c r="H50" s="7">
        <f>IFERROR(Tabela1[[#This Row],[Valor]]/Tabela1[[#This Row],[Litros]],"")</f>
        <v>3.9899999999999998</v>
      </c>
      <c r="I50" s="2">
        <f>IF(Tabela1[[#This Row],[Km Atual]]="","",IFERROR(Tabela1[[#This Row],[Km Atual]]-G49,""))</f>
        <v>400</v>
      </c>
      <c r="J50" s="2" t="s">
        <v>15</v>
      </c>
      <c r="K50" s="4" t="str" cm="1">
        <f t="array" ref="K50">IF(J50&lt;&gt;"Sim","",IF(MOD(COUNTIF($J$4:J50,"Sim"),2)&lt;&gt;0,"",IF(COUNTIFS($L$4:L50,L50,$D$4:D50,"&lt;&gt;"&amp;D50)&gt;0,"",IFERROR((G50-_xlfn.XLOOKUP(L50,$L$4:L50,$G$4:G50,"",0,1))/(SUMIFS($E$4:E50,$L$4:L50,L50)-_xlfn.XLOOKUP(L50,$L$4:L50,$E$4:E50,"",0,1)),""))))</f>
        <v/>
      </c>
      <c r="L50" s="2">
        <f>IF(G50="","",IF(J50="Sim",INT((COUNTIF($J$4:J50,"Sim")-1)/2)+1,INT(COUNTIF($J$4:J49,"Sim")/2)+1))</f>
        <v>21</v>
      </c>
      <c r="M50" s="12" t="str" cm="1">
        <f t="array" ref="M50">IF(J50&lt;&gt;"Sim","",IF(MOD(COUNTIF($J$4:J50,"Sim"),2)&lt;&gt;0,"",IFERROR((SUMIFS($F$4:F50,$L$4:L50,L50)-_xlfn.XLOOKUP(L50,$L$4:L50,$F$4:F50,"",0,1))/(G50-_xlfn.XLOOKUP(L50,$L$4:L50,$G$4:G50,"",0,1)),"")))</f>
        <v/>
      </c>
    </row>
    <row r="51" spans="2:13" x14ac:dyDescent="0.35">
      <c r="B51" s="10">
        <v>46712</v>
      </c>
      <c r="C51" s="3" t="s">
        <v>22</v>
      </c>
      <c r="D51" s="2" t="s">
        <v>7</v>
      </c>
      <c r="E51" s="4">
        <v>12</v>
      </c>
      <c r="F51" s="20">
        <v>70.680000000000007</v>
      </c>
      <c r="G51" s="6">
        <v>63356</v>
      </c>
      <c r="H51" s="7">
        <f>IFERROR(Tabela1[[#This Row],[Valor]]/Tabela1[[#This Row],[Litros]],"")</f>
        <v>5.8900000000000006</v>
      </c>
      <c r="I51" s="2">
        <f>IF(Tabela1[[#This Row],[Km Atual]]="","",IFERROR(Tabela1[[#This Row],[Km Atual]]-G50,""))</f>
        <v>144</v>
      </c>
      <c r="J51" s="2" t="s">
        <v>16</v>
      </c>
      <c r="K51" s="4" t="str" cm="1">
        <f t="array" ref="K51">IF(J51&lt;&gt;"Sim","",IF(MOD(COUNTIF($J$4:J51,"Sim"),2)&lt;&gt;0,"",IF(COUNTIFS($L$4:L51,L51,$D$4:D51,"&lt;&gt;"&amp;D51)&gt;0,"",IFERROR((G51-_xlfn.XLOOKUP(L51,$L$4:L51,$G$4:G51,"",0,1))/(SUMIFS($E$4:E51,$L$4:L51,L51)-_xlfn.XLOOKUP(L51,$L$4:L51,$E$4:E51,"",0,1)),""))))</f>
        <v/>
      </c>
      <c r="L51" s="2">
        <f>IF(G51="","",IF(J51="Sim",INT((COUNTIF($J$4:J51,"Sim")-1)/2)+1,INT(COUNTIF($J$4:J50,"Sim")/2)+1))</f>
        <v>21</v>
      </c>
      <c r="M51" s="12" t="str" cm="1">
        <f t="array" ref="M51">IF(J51&lt;&gt;"Sim","",IF(MOD(COUNTIF($J$4:J51,"Sim"),2)&lt;&gt;0,"",IFERROR((SUMIFS($F$4:F51,$L$4:L51,L51)-_xlfn.XLOOKUP(L51,$L$4:L51,$F$4:F51,"",0,1))/(G51-_xlfn.XLOOKUP(L51,$L$4:L51,$G$4:G51,"",0,1)),"")))</f>
        <v/>
      </c>
    </row>
    <row r="52" spans="2:13" x14ac:dyDescent="0.35">
      <c r="B52" s="10">
        <v>46726</v>
      </c>
      <c r="C52" s="3" t="s">
        <v>21</v>
      </c>
      <c r="D52" s="2" t="s">
        <v>8</v>
      </c>
      <c r="E52" s="4">
        <v>43</v>
      </c>
      <c r="F52" s="20">
        <v>171.57</v>
      </c>
      <c r="G52" s="6">
        <v>63786</v>
      </c>
      <c r="H52" s="7">
        <f>IFERROR(Tabela1[[#This Row],[Valor]]/Tabela1[[#This Row],[Litros]],"")</f>
        <v>3.9899999999999998</v>
      </c>
      <c r="I52" s="2">
        <f>IF(Tabela1[[#This Row],[Km Atual]]="","",IFERROR(Tabela1[[#This Row],[Km Atual]]-G51,""))</f>
        <v>430</v>
      </c>
      <c r="J52" s="2" t="s">
        <v>15</v>
      </c>
      <c r="K52" s="4" t="str" cm="1">
        <f t="array" ref="K52">IF(J52&lt;&gt;"Sim","",IF(MOD(COUNTIF($J$4:J52,"Sim"),2)&lt;&gt;0,"",IF(COUNTIFS($L$4:L52,L52,$D$4:D52,"&lt;&gt;"&amp;D52)&gt;0,"",IFERROR((G52-_xlfn.XLOOKUP(L52,$L$4:L52,$G$4:G52,"",0,1))/(SUMIFS($E$4:E52,$L$4:L52,L52)-_xlfn.XLOOKUP(L52,$L$4:L52,$E$4:E52,"",0,1)),""))))</f>
        <v/>
      </c>
      <c r="L52" s="2">
        <f>IF(G52="","",IF(J52="Sim",INT((COUNTIF($J$4:J52,"Sim")-1)/2)+1,INT(COUNTIF($J$4:J51,"Sim")/2)+1))</f>
        <v>21</v>
      </c>
      <c r="M52" s="12" cm="1">
        <f t="array" ref="M52">IF(J52&lt;&gt;"Sim","",IF(MOD(COUNTIF($J$4:J52,"Sim"),2)&lt;&gt;0,"",IFERROR((SUMIFS($F$4:F52,$L$4:L52,L52)-_xlfn.XLOOKUP(L52,$L$4:L52,$F$4:F52,"",0,1))/(G52-_xlfn.XLOOKUP(L52,$L$4:L52,$G$4:G52,"",0,1)),"")))</f>
        <v>0.42203832752613246</v>
      </c>
    </row>
    <row r="53" spans="2:13" x14ac:dyDescent="0.35">
      <c r="B53" s="10">
        <v>46741</v>
      </c>
      <c r="C53" s="3" t="s">
        <v>21</v>
      </c>
      <c r="D53" s="2" t="s">
        <v>8</v>
      </c>
      <c r="E53" s="4">
        <v>41</v>
      </c>
      <c r="F53" s="20">
        <v>163.59</v>
      </c>
      <c r="G53" s="6">
        <v>64196</v>
      </c>
      <c r="H53" s="7">
        <f>IFERROR(Tabela1[[#This Row],[Valor]]/Tabela1[[#This Row],[Litros]],"")</f>
        <v>3.99</v>
      </c>
      <c r="I53" s="2">
        <f>IF(Tabela1[[#This Row],[Km Atual]]="","",IFERROR(Tabela1[[#This Row],[Km Atual]]-G52,""))</f>
        <v>410</v>
      </c>
      <c r="J53" s="2" t="s">
        <v>15</v>
      </c>
      <c r="K53" s="4" t="str" cm="1">
        <f t="array" ref="K53">IF(J53&lt;&gt;"Sim","",IF(MOD(COUNTIF($J$4:J53,"Sim"),2)&lt;&gt;0,"",IF(COUNTIFS($L$4:L53,L53,$D$4:D53,"&lt;&gt;"&amp;D53)&gt;0,"",IFERROR((G53-_xlfn.XLOOKUP(L53,$L$4:L53,$G$4:G53,"",0,1))/(SUMIFS($E$4:E53,$L$4:L53,L53)-_xlfn.XLOOKUP(L53,$L$4:L53,$E$4:E53,"",0,1)),""))))</f>
        <v/>
      </c>
      <c r="L53" s="2">
        <f>IF(G53="","",IF(J53="Sim",INT((COUNTIF($J$4:J53,"Sim")-1)/2)+1,INT(COUNTIF($J$4:J52,"Sim")/2)+1))</f>
        <v>22</v>
      </c>
      <c r="M53" s="12" t="str" cm="1">
        <f t="array" ref="M53">IF(J53&lt;&gt;"Sim","",IF(MOD(COUNTIF($J$4:J53,"Sim"),2)&lt;&gt;0,"",IFERROR((SUMIFS($F$4:F53,$L$4:L53,L53)-_xlfn.XLOOKUP(L53,$L$4:L53,$F$4:F53,"",0,1))/(G53-_xlfn.XLOOKUP(L53,$L$4:L53,$G$4:G53,"",0,1)),"")))</f>
        <v/>
      </c>
    </row>
    <row r="54" spans="2:13" x14ac:dyDescent="0.35">
      <c r="B54" s="10">
        <v>46758</v>
      </c>
      <c r="C54" s="3" t="s">
        <v>19</v>
      </c>
      <c r="D54" s="2" t="s">
        <v>8</v>
      </c>
      <c r="E54" s="4">
        <v>42</v>
      </c>
      <c r="F54" s="20">
        <v>172.2</v>
      </c>
      <c r="G54" s="6">
        <v>64616</v>
      </c>
      <c r="H54" s="7">
        <f>IFERROR(Tabela1[[#This Row],[Valor]]/Tabela1[[#This Row],[Litros]],"")</f>
        <v>4.0999999999999996</v>
      </c>
      <c r="I54" s="2">
        <f>IF(Tabela1[[#This Row],[Km Atual]]="","",IFERROR(Tabela1[[#This Row],[Km Atual]]-G53,""))</f>
        <v>420</v>
      </c>
      <c r="J54" s="2" t="s">
        <v>15</v>
      </c>
      <c r="K54" s="4" cm="1">
        <f t="array" ref="K54">IF(J54&lt;&gt;"Sim","",IF(MOD(COUNTIF($J$4:J54,"Sim"),2)&lt;&gt;0,"",IF(COUNTIFS($L$4:L54,L54,$D$4:D54,"&lt;&gt;"&amp;D54)&gt;0,"",IFERROR((G54-_xlfn.XLOOKUP(L54,$L$4:L54,$G$4:G54,"",0,1))/(SUMIFS($E$4:E54,$L$4:L54,L54)-_xlfn.XLOOKUP(L54,$L$4:L54,$E$4:E54,"",0,1)),""))))</f>
        <v>10</v>
      </c>
      <c r="L54" s="2">
        <f>IF(G54="","",IF(J54="Sim",INT((COUNTIF($J$4:J54,"Sim")-1)/2)+1,INT(COUNTIF($J$4:J53,"Sim")/2)+1))</f>
        <v>22</v>
      </c>
      <c r="M54" s="12" cm="1">
        <f t="array" ref="M54">IF(J54&lt;&gt;"Sim","",IF(MOD(COUNTIF($J$4:J54,"Sim"),2)&lt;&gt;0,"",IFERROR((SUMIFS($F$4:F54,$L$4:L54,L54)-_xlfn.XLOOKUP(L54,$L$4:L54,$F$4:F54,"",0,1))/(G54-_xlfn.XLOOKUP(L54,$L$4:L54,$G$4:G54,"",0,1)),"")))</f>
        <v>0.40999999999999992</v>
      </c>
    </row>
    <row r="55" spans="2:13" x14ac:dyDescent="0.35">
      <c r="B55" s="10">
        <v>46772</v>
      </c>
      <c r="C55" s="3" t="s">
        <v>19</v>
      </c>
      <c r="D55" s="2" t="s">
        <v>8</v>
      </c>
      <c r="E55" s="4">
        <v>40</v>
      </c>
      <c r="F55" s="20">
        <v>164</v>
      </c>
      <c r="G55" s="6">
        <v>65016</v>
      </c>
      <c r="H55" s="7">
        <f>IFERROR(Tabela1[[#This Row],[Valor]]/Tabela1[[#This Row],[Litros]],"")</f>
        <v>4.0999999999999996</v>
      </c>
      <c r="I55" s="2">
        <f>IF(Tabela1[[#This Row],[Km Atual]]="","",IFERROR(Tabela1[[#This Row],[Km Atual]]-G54,""))</f>
        <v>400</v>
      </c>
      <c r="J55" s="2" t="s">
        <v>15</v>
      </c>
      <c r="K55" s="4" t="str" cm="1">
        <f t="array" ref="K55">IF(J55&lt;&gt;"Sim","",IF(MOD(COUNTIF($J$4:J55,"Sim"),2)&lt;&gt;0,"",IF(COUNTIFS($L$4:L55,L55,$D$4:D55,"&lt;&gt;"&amp;D55)&gt;0,"",IFERROR((G55-_xlfn.XLOOKUP(L55,$L$4:L55,$G$4:G55,"",0,1))/(SUMIFS($E$4:E55,$L$4:L55,L55)-_xlfn.XLOOKUP(L55,$L$4:L55,$E$4:E55,"",0,1)),""))))</f>
        <v/>
      </c>
      <c r="L55" s="2">
        <f>IF(G55="","",IF(J55="Sim",INT((COUNTIF($J$4:J55,"Sim")-1)/2)+1,INT(COUNTIF($J$4:J54,"Sim")/2)+1))</f>
        <v>23</v>
      </c>
      <c r="M55" s="12" t="str" cm="1">
        <f t="array" ref="M55">IF(J55&lt;&gt;"Sim","",IF(MOD(COUNTIF($J$4:J55,"Sim"),2)&lt;&gt;0,"",IFERROR((SUMIFS($F$4:F55,$L$4:L55,L55)-_xlfn.XLOOKUP(L55,$L$4:L55,$F$4:F55,"",0,1))/(G55-_xlfn.XLOOKUP(L55,$L$4:L55,$G$4:G55,"",0,1)),"")))</f>
        <v/>
      </c>
    </row>
    <row r="56" spans="2:13" x14ac:dyDescent="0.35">
      <c r="B56" s="10">
        <v>46786</v>
      </c>
      <c r="C56" s="3" t="s">
        <v>21</v>
      </c>
      <c r="D56" s="2" t="s">
        <v>8</v>
      </c>
      <c r="E56" s="4">
        <v>41.5</v>
      </c>
      <c r="F56" s="20">
        <v>170.15</v>
      </c>
      <c r="G56" s="6">
        <v>65431</v>
      </c>
      <c r="H56" s="7">
        <f>IFERROR(Tabela1[[#This Row],[Valor]]/Tabela1[[#This Row],[Litros]],"")</f>
        <v>4.1000000000000005</v>
      </c>
      <c r="I56" s="2">
        <f>IF(Tabela1[[#This Row],[Km Atual]]="","",IFERROR(Tabela1[[#This Row],[Km Atual]]-G55,""))</f>
        <v>415</v>
      </c>
      <c r="J56" s="2" t="s">
        <v>15</v>
      </c>
      <c r="K56" s="4" cm="1">
        <f t="array" ref="K56">IF(J56&lt;&gt;"Sim","",IF(MOD(COUNTIF($J$4:J56,"Sim"),2)&lt;&gt;0,"",IF(COUNTIFS($L$4:L56,L56,$D$4:D56,"&lt;&gt;"&amp;D56)&gt;0,"",IFERROR((G56-_xlfn.XLOOKUP(L56,$L$4:L56,$G$4:G56,"",0,1))/(SUMIFS($E$4:E56,$L$4:L56,L56)-_xlfn.XLOOKUP(L56,$L$4:L56,$E$4:E56,"",0,1)),""))))</f>
        <v>10</v>
      </c>
      <c r="L56" s="2">
        <f>IF(G56="","",IF(J56="Sim",INT((COUNTIF($J$4:J56,"Sim")-1)/2)+1,INT(COUNTIF($J$4:J55,"Sim")/2)+1))</f>
        <v>23</v>
      </c>
      <c r="M56" s="12" cm="1">
        <f t="array" ref="M56">IF(J56&lt;&gt;"Sim","",IF(MOD(COUNTIF($J$4:J56,"Sim"),2)&lt;&gt;0,"",IFERROR((SUMIFS($F$4:F56,$L$4:L56,L56)-_xlfn.XLOOKUP(L56,$L$4:L56,$F$4:F56,"",0,1))/(G56-_xlfn.XLOOKUP(L56,$L$4:L56,$G$4:G56,"",0,1)),"")))</f>
        <v>0.40999999999999992</v>
      </c>
    </row>
    <row r="57" spans="2:13" x14ac:dyDescent="0.35">
      <c r="B57" s="10">
        <v>46800</v>
      </c>
      <c r="C57" s="3" t="s">
        <v>21</v>
      </c>
      <c r="D57" s="2" t="s">
        <v>8</v>
      </c>
      <c r="E57" s="4">
        <v>39.5</v>
      </c>
      <c r="F57" s="20">
        <v>161.94999999999999</v>
      </c>
      <c r="G57" s="6">
        <v>65826</v>
      </c>
      <c r="H57" s="7">
        <f>IFERROR(Tabela1[[#This Row],[Valor]]/Tabela1[[#This Row],[Litros]],"")</f>
        <v>4.0999999999999996</v>
      </c>
      <c r="I57" s="2">
        <f>IF(Tabela1[[#This Row],[Km Atual]]="","",IFERROR(Tabela1[[#This Row],[Km Atual]]-G56,""))</f>
        <v>395</v>
      </c>
      <c r="J57" s="2" t="s">
        <v>15</v>
      </c>
      <c r="K57" s="4" t="str" cm="1">
        <f t="array" ref="K57">IF(J57&lt;&gt;"Sim","",IF(MOD(COUNTIF($J$4:J57,"Sim"),2)&lt;&gt;0,"",IF(COUNTIFS($L$4:L57,L57,$D$4:D57,"&lt;&gt;"&amp;D57)&gt;0,"",IFERROR((G57-_xlfn.XLOOKUP(L57,$L$4:L57,$G$4:G57,"",0,1))/(SUMIFS($E$4:E57,$L$4:L57,L57)-_xlfn.XLOOKUP(L57,$L$4:L57,$E$4:E57,"",0,1)),""))))</f>
        <v/>
      </c>
      <c r="L57" s="2">
        <f>IF(G57="","",IF(J57="Sim",INT((COUNTIF($J$4:J57,"Sim")-1)/2)+1,INT(COUNTIF($J$4:J56,"Sim")/2)+1))</f>
        <v>24</v>
      </c>
      <c r="M57" s="12" t="str" cm="1">
        <f t="array" ref="M57">IF(J57&lt;&gt;"Sim","",IF(MOD(COUNTIF($J$4:J57,"Sim"),2)&lt;&gt;0,"",IFERROR((SUMIFS($F$4:F57,$L$4:L57,L57)-_xlfn.XLOOKUP(L57,$L$4:L57,$F$4:F57,"",0,1))/(G57-_xlfn.XLOOKUP(L57,$L$4:L57,$G$4:G57,"",0,1)),"")))</f>
        <v/>
      </c>
    </row>
    <row r="58" spans="2:13" x14ac:dyDescent="0.35">
      <c r="B58" s="10">
        <v>46814</v>
      </c>
      <c r="C58" s="3" t="s">
        <v>20</v>
      </c>
      <c r="D58" s="2" t="s">
        <v>7</v>
      </c>
      <c r="E58" s="4">
        <v>42.5</v>
      </c>
      <c r="F58" s="20">
        <v>255</v>
      </c>
      <c r="G58" s="6">
        <v>66336</v>
      </c>
      <c r="H58" s="7">
        <f>IFERROR(Tabela1[[#This Row],[Valor]]/Tabela1[[#This Row],[Litros]],"")</f>
        <v>6</v>
      </c>
      <c r="I58" s="2">
        <f>IF(Tabela1[[#This Row],[Km Atual]]="","",IFERROR(Tabela1[[#This Row],[Km Atual]]-G57,""))</f>
        <v>510</v>
      </c>
      <c r="J58" s="2" t="s">
        <v>15</v>
      </c>
      <c r="K58" s="4" t="str" cm="1">
        <f t="array" ref="K58">IF(J58&lt;&gt;"Sim","",IF(MOD(COUNTIF($J$4:J58,"Sim"),2)&lt;&gt;0,"",IF(COUNTIFS($L$4:L58,L58,$D$4:D58,"&lt;&gt;"&amp;D58)&gt;0,"",IFERROR((G58-_xlfn.XLOOKUP(L58,$L$4:L58,$G$4:G58,"",0,1))/(SUMIFS($E$4:E58,$L$4:L58,L58)-_xlfn.XLOOKUP(L58,$L$4:L58,$E$4:E58,"",0,1)),""))))</f>
        <v/>
      </c>
      <c r="L58" s="2">
        <f>IF(G58="","",IF(J58="Sim",INT((COUNTIF($J$4:J58,"Sim")-1)/2)+1,INT(COUNTIF($J$4:J57,"Sim")/2)+1))</f>
        <v>24</v>
      </c>
      <c r="M58" s="12" cm="1">
        <f t="array" ref="M58">IF(J58&lt;&gt;"Sim","",IF(MOD(COUNTIF($J$4:J58,"Sim"),2)&lt;&gt;0,"",IFERROR((SUMIFS($F$4:F58,$L$4:L58,L58)-_xlfn.XLOOKUP(L58,$L$4:L58,$F$4:F58,"",0,1))/(G58-_xlfn.XLOOKUP(L58,$L$4:L58,$G$4:G58,"",0,1)),"")))</f>
        <v>0.5</v>
      </c>
    </row>
    <row r="59" spans="2:13" x14ac:dyDescent="0.35">
      <c r="B59" s="10">
        <v>46828</v>
      </c>
      <c r="C59" s="3" t="s">
        <v>20</v>
      </c>
      <c r="D59" s="2" t="s">
        <v>7</v>
      </c>
      <c r="E59" s="4">
        <v>41</v>
      </c>
      <c r="F59" s="20">
        <v>246</v>
      </c>
      <c r="G59" s="6">
        <v>66828</v>
      </c>
      <c r="H59" s="7">
        <f>IFERROR(Tabela1[[#This Row],[Valor]]/Tabela1[[#This Row],[Litros]],"")</f>
        <v>6</v>
      </c>
      <c r="I59" s="2">
        <f>IF(Tabela1[[#This Row],[Km Atual]]="","",IFERROR(Tabela1[[#This Row],[Km Atual]]-G58,""))</f>
        <v>492</v>
      </c>
      <c r="J59" s="2" t="s">
        <v>15</v>
      </c>
      <c r="K59" s="4" t="str" cm="1">
        <f t="array" ref="K59">IF(J59&lt;&gt;"Sim","",IF(MOD(COUNTIF($J$4:J59,"Sim"),2)&lt;&gt;0,"",IF(COUNTIFS($L$4:L59,L59,$D$4:D59,"&lt;&gt;"&amp;D59)&gt;0,"",IFERROR((G59-_xlfn.XLOOKUP(L59,$L$4:L59,$G$4:G59,"",0,1))/(SUMIFS($E$4:E59,$L$4:L59,L59)-_xlfn.XLOOKUP(L59,$L$4:L59,$E$4:E59,"",0,1)),""))))</f>
        <v/>
      </c>
      <c r="L59" s="2">
        <f>IF(G59="","",IF(J59="Sim",INT((COUNTIF($J$4:J59,"Sim")-1)/2)+1,INT(COUNTIF($J$4:J58,"Sim")/2)+1))</f>
        <v>25</v>
      </c>
      <c r="M59" s="12" t="str" cm="1">
        <f t="array" ref="M59">IF(J59&lt;&gt;"Sim","",IF(MOD(COUNTIF($J$4:J59,"Sim"),2)&lt;&gt;0,"",IFERROR((SUMIFS($F$4:F59,$L$4:L59,L59)-_xlfn.XLOOKUP(L59,$L$4:L59,$F$4:F59,"",0,1))/(G59-_xlfn.XLOOKUP(L59,$L$4:L59,$G$4:G59,"",0,1)),"")))</f>
        <v/>
      </c>
    </row>
    <row r="60" spans="2:13" x14ac:dyDescent="0.35">
      <c r="B60" s="10">
        <v>46842</v>
      </c>
      <c r="C60" s="3" t="s">
        <v>22</v>
      </c>
      <c r="D60" s="2" t="s">
        <v>7</v>
      </c>
      <c r="E60" s="4">
        <v>15</v>
      </c>
      <c r="F60" s="20">
        <v>90</v>
      </c>
      <c r="G60" s="6">
        <v>67008</v>
      </c>
      <c r="H60" s="7">
        <f>IFERROR(Tabela1[[#This Row],[Valor]]/Tabela1[[#This Row],[Litros]],"")</f>
        <v>6</v>
      </c>
      <c r="I60" s="2">
        <f>IF(Tabela1[[#This Row],[Km Atual]]="","",IFERROR(Tabela1[[#This Row],[Km Atual]]-G59,""))</f>
        <v>180</v>
      </c>
      <c r="J60" s="2" t="s">
        <v>16</v>
      </c>
      <c r="K60" s="4" t="str" cm="1">
        <f t="array" ref="K60">IF(J60&lt;&gt;"Sim","",IF(MOD(COUNTIF($J$4:J60,"Sim"),2)&lt;&gt;0,"",IF(COUNTIFS($L$4:L60,L60,$D$4:D60,"&lt;&gt;"&amp;D60)&gt;0,"",IFERROR((G60-_xlfn.XLOOKUP(L60,$L$4:L60,$G$4:G60,"",0,1))/(SUMIFS($E$4:E60,$L$4:L60,L60)-_xlfn.XLOOKUP(L60,$L$4:L60,$E$4:E60,"",0,1)),""))))</f>
        <v/>
      </c>
      <c r="L60" s="2">
        <f>IF(G60="","",IF(J60="Sim",INT((COUNTIF($J$4:J60,"Sim")-1)/2)+1,INT(COUNTIF($J$4:J59,"Sim")/2)+1))</f>
        <v>25</v>
      </c>
      <c r="M60" s="12" t="str" cm="1">
        <f t="array" ref="M60">IF(J60&lt;&gt;"Sim","",IF(MOD(COUNTIF($J$4:J60,"Sim"),2)&lt;&gt;0,"",IFERROR((SUMIFS($F$4:F60,$L$4:L60,L60)-_xlfn.XLOOKUP(L60,$L$4:L60,$F$4:F60,"",0,1))/(G60-_xlfn.XLOOKUP(L60,$L$4:L60,$G$4:G60,"",0,1)),"")))</f>
        <v/>
      </c>
    </row>
    <row r="61" spans="2:13" x14ac:dyDescent="0.35">
      <c r="B61" s="10">
        <v>46856</v>
      </c>
      <c r="C61" s="3" t="s">
        <v>21</v>
      </c>
      <c r="D61" s="2" t="s">
        <v>8</v>
      </c>
      <c r="E61" s="4">
        <v>43</v>
      </c>
      <c r="F61" s="20">
        <v>176.3</v>
      </c>
      <c r="G61" s="6">
        <v>67438</v>
      </c>
      <c r="H61" s="7">
        <f>IFERROR(Tabela1[[#This Row],[Valor]]/Tabela1[[#This Row],[Litros]],"")</f>
        <v>4.1000000000000005</v>
      </c>
      <c r="I61" s="2">
        <f>IF(Tabela1[[#This Row],[Km Atual]]="","",IFERROR(Tabela1[[#This Row],[Km Atual]]-G60,""))</f>
        <v>430</v>
      </c>
      <c r="J61" s="2" t="s">
        <v>15</v>
      </c>
      <c r="K61" s="4" t="str" cm="1">
        <f t="array" ref="K61">IF(J61&lt;&gt;"Sim","",IF(MOD(COUNTIF($J$4:J61,"Sim"),2)&lt;&gt;0,"",IF(COUNTIFS($L$4:L61,L61,$D$4:D61,"&lt;&gt;"&amp;D61)&gt;0,"",IFERROR((G61-_xlfn.XLOOKUP(L61,$L$4:L61,$G$4:G61,"",0,1))/(SUMIFS($E$4:E61,$L$4:L61,L61)-_xlfn.XLOOKUP(L61,$L$4:L61,$E$4:E61,"",0,1)),""))))</f>
        <v/>
      </c>
      <c r="L61" s="2">
        <f>IF(G61="","",IF(J61="Sim",INT((COUNTIF($J$4:J61,"Sim")-1)/2)+1,INT(COUNTIF($J$4:J60,"Sim")/2)+1))</f>
        <v>25</v>
      </c>
      <c r="M61" s="12" cm="1">
        <f t="array" ref="M61">IF(J61&lt;&gt;"Sim","",IF(MOD(COUNTIF($J$4:J61,"Sim"),2)&lt;&gt;0,"",IFERROR((SUMIFS($F$4:F61,$L$4:L61,L61)-_xlfn.XLOOKUP(L61,$L$4:L61,$F$4:F61,"",0,1))/(G61-_xlfn.XLOOKUP(L61,$L$4:L61,$G$4:G61,"",0,1)),"")))</f>
        <v>0.43655737704918024</v>
      </c>
    </row>
    <row r="62" spans="2:13" x14ac:dyDescent="0.35">
      <c r="B62" s="10">
        <v>46870</v>
      </c>
      <c r="C62" s="3" t="s">
        <v>21</v>
      </c>
      <c r="D62" s="2" t="s">
        <v>8</v>
      </c>
      <c r="E62" s="4">
        <v>40</v>
      </c>
      <c r="F62" s="20">
        <v>164</v>
      </c>
      <c r="G62" s="6">
        <v>67838</v>
      </c>
      <c r="H62" s="7">
        <f>IFERROR(Tabela1[[#This Row],[Valor]]/Tabela1[[#This Row],[Litros]],"")</f>
        <v>4.0999999999999996</v>
      </c>
      <c r="I62" s="2">
        <f>IF(Tabela1[[#This Row],[Km Atual]]="","",IFERROR(Tabela1[[#This Row],[Km Atual]]-G61,""))</f>
        <v>400</v>
      </c>
      <c r="J62" s="2" t="s">
        <v>15</v>
      </c>
      <c r="K62" s="4" t="str" cm="1">
        <f t="array" ref="K62">IF(J62&lt;&gt;"Sim","",IF(MOD(COUNTIF($J$4:J62,"Sim"),2)&lt;&gt;0,"",IF(COUNTIFS($L$4:L62,L62,$D$4:D62,"&lt;&gt;"&amp;D62)&gt;0,"",IFERROR((G62-_xlfn.XLOOKUP(L62,$L$4:L62,$G$4:G62,"",0,1))/(SUMIFS($E$4:E62,$L$4:L62,L62)-_xlfn.XLOOKUP(L62,$L$4:L62,$E$4:E62,"",0,1)),""))))</f>
        <v/>
      </c>
      <c r="L62" s="2">
        <f>IF(G62="","",IF(J62="Sim",INT((COUNTIF($J$4:J62,"Sim")-1)/2)+1,INT(COUNTIF($J$4:J61,"Sim")/2)+1))</f>
        <v>26</v>
      </c>
      <c r="M62" s="12" t="str" cm="1">
        <f t="array" ref="M62">IF(J62&lt;&gt;"Sim","",IF(MOD(COUNTIF($J$4:J62,"Sim"),2)&lt;&gt;0,"",IFERROR((SUMIFS($F$4:F62,$L$4:L62,L62)-_xlfn.XLOOKUP(L62,$L$4:L62,$F$4:F62,"",0,1))/(G62-_xlfn.XLOOKUP(L62,$L$4:L62,$G$4:G62,"",0,1)),"")))</f>
        <v/>
      </c>
    </row>
    <row r="63" spans="2:13" x14ac:dyDescent="0.35">
      <c r="B63" s="10">
        <v>46884</v>
      </c>
      <c r="C63" s="3" t="s">
        <v>23</v>
      </c>
      <c r="D63" s="2" t="s">
        <v>9</v>
      </c>
      <c r="E63" s="4">
        <v>50</v>
      </c>
      <c r="F63" s="20">
        <v>310</v>
      </c>
      <c r="G63" s="6">
        <v>68438</v>
      </c>
      <c r="H63" s="7">
        <f>IFERROR(Tabela1[[#This Row],[Valor]]/Tabela1[[#This Row],[Litros]],"")</f>
        <v>6.2</v>
      </c>
      <c r="I63" s="2">
        <f>IF(Tabela1[[#This Row],[Km Atual]]="","",IFERROR(Tabela1[[#This Row],[Km Atual]]-G62,""))</f>
        <v>600</v>
      </c>
      <c r="J63" s="2" t="s">
        <v>15</v>
      </c>
      <c r="K63" s="4" t="str" cm="1">
        <f t="array" ref="K63">IF(J63&lt;&gt;"Sim","",IF(MOD(COUNTIF($J$4:J63,"Sim"),2)&lt;&gt;0,"",IF(COUNTIFS($L$4:L63,L63,$D$4:D63,"&lt;&gt;"&amp;D63)&gt;0,"",IFERROR((G63-_xlfn.XLOOKUP(L63,$L$4:L63,$G$4:G63,"",0,1))/(SUMIFS($E$4:E63,$L$4:L63,L63)-_xlfn.XLOOKUP(L63,$L$4:L63,$E$4:E63,"",0,1)),""))))</f>
        <v/>
      </c>
      <c r="L63" s="2">
        <f>IF(G63="","",IF(J63="Sim",INT((COUNTIF($J$4:J63,"Sim")-1)/2)+1,INT(COUNTIF($J$4:J62,"Sim")/2)+1))</f>
        <v>26</v>
      </c>
      <c r="M63" s="12" cm="1">
        <f t="array" ref="M63">IF(J63&lt;&gt;"Sim","",IF(MOD(COUNTIF($J$4:J63,"Sim"),2)&lt;&gt;0,"",IFERROR((SUMIFS($F$4:F63,$L$4:L63,L63)-_xlfn.XLOOKUP(L63,$L$4:L63,$F$4:F63,"",0,1))/(G63-_xlfn.XLOOKUP(L63,$L$4:L63,$G$4:G63,"",0,1)),"")))</f>
        <v>0.51666666666666672</v>
      </c>
    </row>
    <row r="64" spans="2:13" x14ac:dyDescent="0.35">
      <c r="B64" s="10">
        <v>46898</v>
      </c>
      <c r="C64" s="3" t="s">
        <v>23</v>
      </c>
      <c r="D64" s="2" t="s">
        <v>9</v>
      </c>
      <c r="E64" s="4">
        <v>48.5</v>
      </c>
      <c r="F64" s="20">
        <v>300.7</v>
      </c>
      <c r="G64" s="6">
        <v>69020</v>
      </c>
      <c r="H64" s="7">
        <f>IFERROR(Tabela1[[#This Row],[Valor]]/Tabela1[[#This Row],[Litros]],"")</f>
        <v>6.2</v>
      </c>
      <c r="I64" s="2">
        <f>IF(Tabela1[[#This Row],[Km Atual]]="","",IFERROR(Tabela1[[#This Row],[Km Atual]]-G63,""))</f>
        <v>582</v>
      </c>
      <c r="J64" s="2" t="s">
        <v>15</v>
      </c>
      <c r="K64" s="4" t="str" cm="1">
        <f t="array" ref="K64">IF(J64&lt;&gt;"Sim","",IF(MOD(COUNTIF($J$4:J64,"Sim"),2)&lt;&gt;0,"",IF(COUNTIFS($L$4:L64,L64,$D$4:D64,"&lt;&gt;"&amp;D64)&gt;0,"",IFERROR((G64-_xlfn.XLOOKUP(L64,$L$4:L64,$G$4:G64,"",0,1))/(SUMIFS($E$4:E64,$L$4:L64,L64)-_xlfn.XLOOKUP(L64,$L$4:L64,$E$4:E64,"",0,1)),""))))</f>
        <v/>
      </c>
      <c r="L64" s="2">
        <f>IF(G64="","",IF(J64="Sim",INT((COUNTIF($J$4:J64,"Sim")-1)/2)+1,INT(COUNTIF($J$4:J63,"Sim")/2)+1))</f>
        <v>27</v>
      </c>
      <c r="M64" s="12" t="str" cm="1">
        <f t="array" ref="M64">IF(J64&lt;&gt;"Sim","",IF(MOD(COUNTIF($J$4:J64,"Sim"),2)&lt;&gt;0,"",IFERROR((SUMIFS($F$4:F64,$L$4:L64,L64)-_xlfn.XLOOKUP(L64,$L$4:L64,$F$4:F64,"",0,1))/(G64-_xlfn.XLOOKUP(L64,$L$4:L64,$G$4:G64,"",0,1)),"")))</f>
        <v/>
      </c>
    </row>
    <row r="65" spans="2:13" x14ac:dyDescent="0.35">
      <c r="B65" s="10">
        <v>46912</v>
      </c>
      <c r="C65" s="3" t="s">
        <v>24</v>
      </c>
      <c r="D65" s="2" t="s">
        <v>10</v>
      </c>
      <c r="E65" s="4">
        <v>15.2</v>
      </c>
      <c r="F65" s="20">
        <v>72.959999999999994</v>
      </c>
      <c r="G65" s="6">
        <v>69233</v>
      </c>
      <c r="H65" s="7">
        <f>IFERROR(Tabela1[[#This Row],[Valor]]/Tabela1[[#This Row],[Litros]],"")</f>
        <v>4.8</v>
      </c>
      <c r="I65" s="2">
        <f>IF(Tabela1[[#This Row],[Km Atual]]="","",IFERROR(Tabela1[[#This Row],[Km Atual]]-G64,""))</f>
        <v>213</v>
      </c>
      <c r="J65" s="2" t="s">
        <v>15</v>
      </c>
      <c r="K65" s="4" t="str" cm="1">
        <f t="array" ref="K65">IF(J65&lt;&gt;"Sim","",IF(MOD(COUNTIF($J$4:J65,"Sim"),2)&lt;&gt;0,"",IF(COUNTIFS($L$4:L65,L65,$D$4:D65,"&lt;&gt;"&amp;D65)&gt;0,"",IFERROR((G65-_xlfn.XLOOKUP(L65,$L$4:L65,$G$4:G65,"",0,1))/(SUMIFS($E$4:E65,$L$4:L65,L65)-_xlfn.XLOOKUP(L65,$L$4:L65,$E$4:E65,"",0,1)),""))))</f>
        <v/>
      </c>
      <c r="L65" s="2">
        <f>IF(G65="","",IF(J65="Sim",INT((COUNTIF($J$4:J65,"Sim")-1)/2)+1,INT(COUNTIF($J$4:J64,"Sim")/2)+1))</f>
        <v>27</v>
      </c>
      <c r="M65" s="12" cm="1">
        <f t="array" ref="M65">IF(J65&lt;&gt;"Sim","",IF(MOD(COUNTIF($J$4:J65,"Sim"),2)&lt;&gt;0,"",IFERROR((SUMIFS($F$4:F65,$L$4:L65,L65)-_xlfn.XLOOKUP(L65,$L$4:L65,$F$4:F65,"",0,1))/(G65-_xlfn.XLOOKUP(L65,$L$4:L65,$G$4:G65,"",0,1)),"")))</f>
        <v>0.34253521126760555</v>
      </c>
    </row>
    <row r="66" spans="2:13" x14ac:dyDescent="0.35">
      <c r="B66" s="10">
        <v>46926</v>
      </c>
      <c r="C66" s="3" t="s">
        <v>24</v>
      </c>
      <c r="D66" s="2" t="s">
        <v>10</v>
      </c>
      <c r="E66" s="4">
        <v>14.8</v>
      </c>
      <c r="F66" s="20">
        <v>71.040000000000006</v>
      </c>
      <c r="G66" s="6">
        <v>69440</v>
      </c>
      <c r="H66" s="7">
        <f>IFERROR(Tabela1[[#This Row],[Valor]]/Tabela1[[#This Row],[Litros]],"")</f>
        <v>4.8</v>
      </c>
      <c r="I66" s="2">
        <f>IF(Tabela1[[#This Row],[Km Atual]]="","",IFERROR(Tabela1[[#This Row],[Km Atual]]-G65,""))</f>
        <v>207</v>
      </c>
      <c r="J66" s="2" t="s">
        <v>15</v>
      </c>
      <c r="K66" s="4" t="str" cm="1">
        <f t="array" ref="K66">IF(J66&lt;&gt;"Sim","",IF(MOD(COUNTIF($J$4:J66,"Sim"),2)&lt;&gt;0,"",IF(COUNTIFS($L$4:L66,L66,$D$4:D66,"&lt;&gt;"&amp;D66)&gt;0,"",IFERROR((G66-_xlfn.XLOOKUP(L66,$L$4:L66,$G$4:G66,"",0,1))/(SUMIFS($E$4:E66,$L$4:L66,L66)-_xlfn.XLOOKUP(L66,$L$4:L66,$E$4:E66,"",0,1)),""))))</f>
        <v/>
      </c>
      <c r="L66" s="2">
        <f>IF(G66="","",IF(J66="Sim",INT((COUNTIF($J$4:J66,"Sim")-1)/2)+1,INT(COUNTIF($J$4:J65,"Sim")/2)+1))</f>
        <v>28</v>
      </c>
      <c r="M66" s="12" t="str" cm="1">
        <f t="array" ref="M66">IF(J66&lt;&gt;"Sim","",IF(MOD(COUNTIF($J$4:J66,"Sim"),2)&lt;&gt;0,"",IFERROR((SUMIFS($F$4:F66,$L$4:L66,L66)-_xlfn.XLOOKUP(L66,$L$4:L66,$F$4:F66,"",0,1))/(G66-_xlfn.XLOOKUP(L66,$L$4:L66,$G$4:G66,"",0,1)),"")))</f>
        <v/>
      </c>
    </row>
    <row r="67" spans="2:13" x14ac:dyDescent="0.35">
      <c r="B67" s="10">
        <v>46940</v>
      </c>
      <c r="C67" s="3" t="s">
        <v>19</v>
      </c>
      <c r="D67" s="2" t="s">
        <v>8</v>
      </c>
      <c r="E67" s="4">
        <v>42</v>
      </c>
      <c r="F67" s="20">
        <v>172.2</v>
      </c>
      <c r="G67" s="6">
        <v>69860</v>
      </c>
      <c r="H67" s="7">
        <f>IFERROR(Tabela1[[#This Row],[Valor]]/Tabela1[[#This Row],[Litros]],"")</f>
        <v>4.0999999999999996</v>
      </c>
      <c r="I67" s="2">
        <f>IF(Tabela1[[#This Row],[Km Atual]]="","",IFERROR(Tabela1[[#This Row],[Km Atual]]-G66,""))</f>
        <v>420</v>
      </c>
      <c r="J67" s="2" t="s">
        <v>15</v>
      </c>
      <c r="K67" s="4" t="str" cm="1">
        <f t="array" ref="K67">IF(J67&lt;&gt;"Sim","",IF(MOD(COUNTIF($J$4:J67,"Sim"),2)&lt;&gt;0,"",IF(COUNTIFS($L$4:L67,L67,$D$4:D67,"&lt;&gt;"&amp;D67)&gt;0,"",IFERROR((G67-_xlfn.XLOOKUP(L67,$L$4:L67,$G$4:G67,"",0,1))/(SUMIFS($E$4:E67,$L$4:L67,L67)-_xlfn.XLOOKUP(L67,$L$4:L67,$E$4:E67,"",0,1)),""))))</f>
        <v/>
      </c>
      <c r="L67" s="2">
        <f>IF(G67="","",IF(J67="Sim",INT((COUNTIF($J$4:J67,"Sim")-1)/2)+1,INT(COUNTIF($J$4:J66,"Sim")/2)+1))</f>
        <v>28</v>
      </c>
      <c r="M67" s="12" cm="1">
        <f t="array" ref="M67">IF(J67&lt;&gt;"Sim","",IF(MOD(COUNTIF($J$4:J67,"Sim"),2)&lt;&gt;0,"",IFERROR((SUMIFS($F$4:F67,$L$4:L67,L67)-_xlfn.XLOOKUP(L67,$L$4:L67,$F$4:F67,"",0,1))/(G67-_xlfn.XLOOKUP(L67,$L$4:L67,$G$4:G67,"",0,1)),"")))</f>
        <v>0.41</v>
      </c>
    </row>
    <row r="68" spans="2:13" x14ac:dyDescent="0.35">
      <c r="B68" s="10">
        <v>46954</v>
      </c>
      <c r="C68" s="3" t="s">
        <v>19</v>
      </c>
      <c r="D68" s="2" t="s">
        <v>8</v>
      </c>
      <c r="E68" s="4">
        <v>40.5</v>
      </c>
      <c r="F68" s="20">
        <v>166.05</v>
      </c>
      <c r="G68" s="6">
        <v>70265</v>
      </c>
      <c r="H68" s="7">
        <f>IFERROR(Tabela1[[#This Row],[Valor]]/Tabela1[[#This Row],[Litros]],"")</f>
        <v>4.1000000000000005</v>
      </c>
      <c r="I68" s="2">
        <f>IF(Tabela1[[#This Row],[Km Atual]]="","",IFERROR(Tabela1[[#This Row],[Km Atual]]-G67,""))</f>
        <v>405</v>
      </c>
      <c r="J68" s="2" t="s">
        <v>15</v>
      </c>
      <c r="K68" s="4" t="str" cm="1">
        <f t="array" ref="K68">IF(J68&lt;&gt;"Sim","",IF(MOD(COUNTIF($J$4:J68,"Sim"),2)&lt;&gt;0,"",IF(COUNTIFS($L$4:L68,L68,$D$4:D68,"&lt;&gt;"&amp;D68)&gt;0,"",IFERROR((G68-_xlfn.XLOOKUP(L68,$L$4:L68,$G$4:G68,"",0,1))/(SUMIFS($E$4:E68,$L$4:L68,L68)-_xlfn.XLOOKUP(L68,$L$4:L68,$E$4:E68,"",0,1)),""))))</f>
        <v/>
      </c>
      <c r="L68" s="2">
        <f>IF(G68="","",IF(J68="Sim",INT((COUNTIF($J$4:J68,"Sim")-1)/2)+1,INT(COUNTIF($J$4:J67,"Sim")/2)+1))</f>
        <v>29</v>
      </c>
      <c r="M68" s="12" t="str" cm="1">
        <f t="array" ref="M68">IF(J68&lt;&gt;"Sim","",IF(MOD(COUNTIF($J$4:J68,"Sim"),2)&lt;&gt;0,"",IFERROR((SUMIFS($F$4:F68,$L$4:L68,L68)-_xlfn.XLOOKUP(L68,$L$4:L68,$F$4:F68,"",0,1))/(G68-_xlfn.XLOOKUP(L68,$L$4:L68,$G$4:G68,"",0,1)),"")))</f>
        <v/>
      </c>
    </row>
    <row r="69" spans="2:13" x14ac:dyDescent="0.35">
      <c r="B69" s="10">
        <v>46968</v>
      </c>
      <c r="C69" s="3" t="s">
        <v>20</v>
      </c>
      <c r="D69" s="2" t="s">
        <v>7</v>
      </c>
      <c r="E69" s="4">
        <v>20</v>
      </c>
      <c r="F69" s="20">
        <v>120</v>
      </c>
      <c r="G69" s="6">
        <v>70505</v>
      </c>
      <c r="H69" s="7">
        <f>IFERROR(Tabela1[[#This Row],[Valor]]/Tabela1[[#This Row],[Litros]],"")</f>
        <v>6</v>
      </c>
      <c r="I69" s="2">
        <f>IF(Tabela1[[#This Row],[Km Atual]]="","",IFERROR(Tabela1[[#This Row],[Km Atual]]-G68,""))</f>
        <v>240</v>
      </c>
      <c r="J69" s="2" t="s">
        <v>16</v>
      </c>
      <c r="K69" s="4" t="str" cm="1">
        <f t="array" ref="K69">IF(J69&lt;&gt;"Sim","",IF(MOD(COUNTIF($J$4:J69,"Sim"),2)&lt;&gt;0,"",IF(COUNTIFS($L$4:L69,L69,$D$4:D69,"&lt;&gt;"&amp;D69)&gt;0,"",IFERROR((G69-_xlfn.XLOOKUP(L69,$L$4:L69,$G$4:G69,"",0,1))/(SUMIFS($E$4:E69,$L$4:L69,L69)-_xlfn.XLOOKUP(L69,$L$4:L69,$E$4:E69,"",0,1)),""))))</f>
        <v/>
      </c>
      <c r="L69" s="2">
        <f>IF(G69="","",IF(J69="Sim",INT((COUNTIF($J$4:J69,"Sim")-1)/2)+1,INT(COUNTIF($J$4:J68,"Sim")/2)+1))</f>
        <v>29</v>
      </c>
      <c r="M69" s="12" t="str" cm="1">
        <f t="array" ref="M69">IF(J69&lt;&gt;"Sim","",IF(MOD(COUNTIF($J$4:J69,"Sim"),2)&lt;&gt;0,"",IFERROR((SUMIFS($F$4:F69,$L$4:L69,L69)-_xlfn.XLOOKUP(L69,$L$4:L69,$F$4:F69,"",0,1))/(G69-_xlfn.XLOOKUP(L69,$L$4:L69,$G$4:G69,"",0,1)),"")))</f>
        <v/>
      </c>
    </row>
    <row r="70" spans="2:13" x14ac:dyDescent="0.35">
      <c r="B70" s="10">
        <v>46982</v>
      </c>
      <c r="C70" s="3" t="s">
        <v>21</v>
      </c>
      <c r="D70" s="2" t="s">
        <v>8</v>
      </c>
      <c r="E70" s="4">
        <v>42</v>
      </c>
      <c r="F70" s="20">
        <v>172.2</v>
      </c>
      <c r="G70" s="6">
        <v>70925</v>
      </c>
      <c r="H70" s="7">
        <f>IFERROR(Tabela1[[#This Row],[Valor]]/Tabela1[[#This Row],[Litros]],"")</f>
        <v>4.0999999999999996</v>
      </c>
      <c r="I70" s="2">
        <f>IF(Tabela1[[#This Row],[Km Atual]]="","",IFERROR(Tabela1[[#This Row],[Km Atual]]-G69,""))</f>
        <v>420</v>
      </c>
      <c r="J70" s="2" t="s">
        <v>15</v>
      </c>
      <c r="K70" s="4" t="str" cm="1">
        <f t="array" ref="K70">IF(J70&lt;&gt;"Sim","",IF(MOD(COUNTIF($J$4:J70,"Sim"),2)&lt;&gt;0,"",IF(COUNTIFS($L$4:L70,L70,$D$4:D70,"&lt;&gt;"&amp;D70)&gt;0,"",IFERROR((G70-_xlfn.XLOOKUP(L70,$L$4:L70,$G$4:G70,"",0,1))/(SUMIFS($E$4:E70,$L$4:L70,L70)-_xlfn.XLOOKUP(L70,$L$4:L70,$E$4:E70,"",0,1)),""))))</f>
        <v/>
      </c>
      <c r="L70" s="2">
        <f>IF(G70="","",IF(J70="Sim",INT((COUNTIF($J$4:J70,"Sim")-1)/2)+1,INT(COUNTIF($J$4:J69,"Sim")/2)+1))</f>
        <v>29</v>
      </c>
      <c r="M70" s="12" cm="1">
        <f t="array" ref="M70">IF(J70&lt;&gt;"Sim","",IF(MOD(COUNTIF($J$4:J70,"Sim"),2)&lt;&gt;0,"",IFERROR((SUMIFS($F$4:F70,$L$4:L70,L70)-_xlfn.XLOOKUP(L70,$L$4:L70,$F$4:F70,"",0,1))/(G70-_xlfn.XLOOKUP(L70,$L$4:L70,$G$4:G70,"",0,1)),"")))</f>
        <v>0.44272727272727269</v>
      </c>
    </row>
    <row r="71" spans="2:13" x14ac:dyDescent="0.35">
      <c r="B71" s="10">
        <v>46996</v>
      </c>
      <c r="C71" s="3" t="s">
        <v>21</v>
      </c>
      <c r="D71" s="2" t="s">
        <v>8</v>
      </c>
      <c r="E71" s="4">
        <v>41</v>
      </c>
      <c r="F71" s="20">
        <v>168.1</v>
      </c>
      <c r="G71" s="6">
        <v>71335</v>
      </c>
      <c r="H71" s="7">
        <f>IFERROR(Tabela1[[#This Row],[Valor]]/Tabela1[[#This Row],[Litros]],"")</f>
        <v>4.0999999999999996</v>
      </c>
      <c r="I71" s="2">
        <f>IF(Tabela1[[#This Row],[Km Atual]]="","",IFERROR(Tabela1[[#This Row],[Km Atual]]-G70,""))</f>
        <v>410</v>
      </c>
      <c r="J71" s="2" t="s">
        <v>15</v>
      </c>
      <c r="K71" s="4" t="str" cm="1">
        <f t="array" ref="K71">IF(J71&lt;&gt;"Sim","",IF(MOD(COUNTIF($J$4:J71,"Sim"),2)&lt;&gt;0,"",IF(COUNTIFS($L$4:L71,L71,$D$4:D71,"&lt;&gt;"&amp;D71)&gt;0,"",IFERROR((G71-_xlfn.XLOOKUP(L71,$L$4:L71,$G$4:G71,"",0,1))/(SUMIFS($E$4:E71,$L$4:L71,L71)-_xlfn.XLOOKUP(L71,$L$4:L71,$E$4:E71,"",0,1)),""))))</f>
        <v/>
      </c>
      <c r="L71" s="2">
        <f>IF(G71="","",IF(J71="Sim",INT((COUNTIF($J$4:J71,"Sim")-1)/2)+1,INT(COUNTIF($J$4:J70,"Sim")/2)+1))</f>
        <v>30</v>
      </c>
      <c r="M71" s="12" t="str" cm="1">
        <f t="array" ref="M71">IF(J71&lt;&gt;"Sim","",IF(MOD(COUNTIF($J$4:J71,"Sim"),2)&lt;&gt;0,"",IFERROR((SUMIFS($F$4:F71,$L$4:L71,L71)-_xlfn.XLOOKUP(L71,$L$4:L71,$F$4:F71,"",0,1))/(G71-_xlfn.XLOOKUP(L71,$L$4:L71,$G$4:G71,"",0,1)),"")))</f>
        <v/>
      </c>
    </row>
    <row r="72" spans="2:13" x14ac:dyDescent="0.35">
      <c r="B72" s="10">
        <v>47010</v>
      </c>
      <c r="C72" s="3" t="s">
        <v>19</v>
      </c>
      <c r="D72" s="2" t="s">
        <v>7</v>
      </c>
      <c r="E72" s="4">
        <v>43</v>
      </c>
      <c r="F72" s="20">
        <v>258</v>
      </c>
      <c r="G72" s="6">
        <v>71851</v>
      </c>
      <c r="H72" s="7">
        <f>IFERROR(Tabela1[[#This Row],[Valor]]/Tabela1[[#This Row],[Litros]],"")</f>
        <v>6</v>
      </c>
      <c r="I72" s="2">
        <f>IF(Tabela1[[#This Row],[Km Atual]]="","",IFERROR(Tabela1[[#This Row],[Km Atual]]-G71,""))</f>
        <v>516</v>
      </c>
      <c r="J72" s="2" t="s">
        <v>15</v>
      </c>
      <c r="K72" s="4" t="str" cm="1">
        <f t="array" ref="K72">IF(J72&lt;&gt;"Sim","",IF(MOD(COUNTIF($J$4:J72,"Sim"),2)&lt;&gt;0,"",IF(COUNTIFS($L$4:L72,L72,$D$4:D72,"&lt;&gt;"&amp;D72)&gt;0,"",IFERROR((G72-_xlfn.XLOOKUP(L72,$L$4:L72,$G$4:G72,"",0,1))/(SUMIFS($E$4:E72,$L$4:L72,L72)-_xlfn.XLOOKUP(L72,$L$4:L72,$E$4:E72,"",0,1)),""))))</f>
        <v/>
      </c>
      <c r="L72" s="2">
        <f>IF(G72="","",IF(J72="Sim",INT((COUNTIF($J$4:J72,"Sim")-1)/2)+1,INT(COUNTIF($J$4:J71,"Sim")/2)+1))</f>
        <v>30</v>
      </c>
      <c r="M72" s="12" cm="1">
        <f t="array" ref="M72">IF(J72&lt;&gt;"Sim","",IF(MOD(COUNTIF($J$4:J72,"Sim"),2)&lt;&gt;0,"",IFERROR((SUMIFS($F$4:F72,$L$4:L72,L72)-_xlfn.XLOOKUP(L72,$L$4:L72,$F$4:F72,"",0,1))/(G72-_xlfn.XLOOKUP(L72,$L$4:L72,$G$4:G72,"",0,1)),"")))</f>
        <v>0.5</v>
      </c>
    </row>
    <row r="73" spans="2:13" x14ac:dyDescent="0.35">
      <c r="B73" s="10">
        <v>47024</v>
      </c>
      <c r="C73" s="3" t="s">
        <v>19</v>
      </c>
      <c r="D73" s="2" t="s">
        <v>7</v>
      </c>
      <c r="E73" s="4">
        <v>41.5</v>
      </c>
      <c r="F73" s="20">
        <v>249</v>
      </c>
      <c r="G73" s="6">
        <v>72349</v>
      </c>
      <c r="H73" s="7">
        <f>IFERROR(Tabela1[[#This Row],[Valor]]/Tabela1[[#This Row],[Litros]],"")</f>
        <v>6</v>
      </c>
      <c r="I73" s="2">
        <f>IF(Tabela1[[#This Row],[Km Atual]]="","",IFERROR(Tabela1[[#This Row],[Km Atual]]-G72,""))</f>
        <v>498</v>
      </c>
      <c r="J73" s="2" t="s">
        <v>15</v>
      </c>
      <c r="K73" s="4" t="str" cm="1">
        <f t="array" ref="K73">IF(J73&lt;&gt;"Sim","",IF(MOD(COUNTIF($J$4:J73,"Sim"),2)&lt;&gt;0,"",IF(COUNTIFS($L$4:L73,L73,$D$4:D73,"&lt;&gt;"&amp;D73)&gt;0,"",IFERROR((G73-_xlfn.XLOOKUP(L73,$L$4:L73,$G$4:G73,"",0,1))/(SUMIFS($E$4:E73,$L$4:L73,L73)-_xlfn.XLOOKUP(L73,$L$4:L73,$E$4:E73,"",0,1)),""))))</f>
        <v/>
      </c>
      <c r="L73" s="2">
        <f>IF(G73="","",IF(J73="Sim",INT((COUNTIF($J$4:J73,"Sim")-1)/2)+1,INT(COUNTIF($J$4:J72,"Sim")/2)+1))</f>
        <v>31</v>
      </c>
      <c r="M73" s="12" t="str" cm="1">
        <f t="array" ref="M73">IF(J73&lt;&gt;"Sim","",IF(MOD(COUNTIF($J$4:J73,"Sim"),2)&lt;&gt;0,"",IFERROR((SUMIFS($F$4:F73,$L$4:L73,L73)-_xlfn.XLOOKUP(L73,$L$4:L73,$F$4:F73,"",0,1))/(G73-_xlfn.XLOOKUP(L73,$L$4:L73,$G$4:G73,"",0,1)),"")))</f>
        <v/>
      </c>
    </row>
    <row r="74" spans="2:13" x14ac:dyDescent="0.35">
      <c r="B74" s="10">
        <v>47038</v>
      </c>
      <c r="C74" s="3" t="s">
        <v>21</v>
      </c>
      <c r="D74" s="2" t="s">
        <v>8</v>
      </c>
      <c r="E74" s="4">
        <v>42</v>
      </c>
      <c r="F74" s="20">
        <v>172.2</v>
      </c>
      <c r="G74" s="6">
        <v>72769</v>
      </c>
      <c r="H74" s="7">
        <f>IFERROR(Tabela1[[#This Row],[Valor]]/Tabela1[[#This Row],[Litros]],"")</f>
        <v>4.0999999999999996</v>
      </c>
      <c r="I74" s="2">
        <f>IF(Tabela1[[#This Row],[Km Atual]]="","",IFERROR(Tabela1[[#This Row],[Km Atual]]-G73,""))</f>
        <v>420</v>
      </c>
      <c r="J74" s="2" t="s">
        <v>15</v>
      </c>
      <c r="K74" s="4" t="str" cm="1">
        <f t="array" ref="K74">IF(J74&lt;&gt;"Sim","",IF(MOD(COUNTIF($J$4:J74,"Sim"),2)&lt;&gt;0,"",IF(COUNTIFS($L$4:L74,L74,$D$4:D74,"&lt;&gt;"&amp;D74)&gt;0,"",IFERROR((G74-_xlfn.XLOOKUP(L74,$L$4:L74,$G$4:G74,"",0,1))/(SUMIFS($E$4:E74,$L$4:L74,L74)-_xlfn.XLOOKUP(L74,$L$4:L74,$E$4:E74,"",0,1)),""))))</f>
        <v/>
      </c>
      <c r="L74" s="2">
        <f>IF(G74="","",IF(J74="Sim",INT((COUNTIF($J$4:J74,"Sim")-1)/2)+1,INT(COUNTIF($J$4:J73,"Sim")/2)+1))</f>
        <v>31</v>
      </c>
      <c r="M74" s="12" cm="1">
        <f t="array" ref="M74">IF(J74&lt;&gt;"Sim","",IF(MOD(COUNTIF($J$4:J74,"Sim"),2)&lt;&gt;0,"",IFERROR((SUMIFS($F$4:F74,$L$4:L74,L74)-_xlfn.XLOOKUP(L74,$L$4:L74,$F$4:F74,"",0,1))/(G74-_xlfn.XLOOKUP(L74,$L$4:L74,$G$4:G74,"",0,1)),"")))</f>
        <v>0.41</v>
      </c>
    </row>
    <row r="75" spans="2:13" x14ac:dyDescent="0.35">
      <c r="B75" s="10">
        <v>47052</v>
      </c>
      <c r="C75" s="3" t="s">
        <v>21</v>
      </c>
      <c r="D75" s="2" t="s">
        <v>8</v>
      </c>
      <c r="E75" s="4">
        <v>40</v>
      </c>
      <c r="F75" s="20">
        <v>164</v>
      </c>
      <c r="G75" s="6">
        <v>73169</v>
      </c>
      <c r="H75" s="7">
        <f>IFERROR(Tabela1[[#This Row],[Valor]]/Tabela1[[#This Row],[Litros]],"")</f>
        <v>4.0999999999999996</v>
      </c>
      <c r="I75" s="2">
        <f>IF(Tabela1[[#This Row],[Km Atual]]="","",IFERROR(Tabela1[[#This Row],[Km Atual]]-G74,""))</f>
        <v>400</v>
      </c>
      <c r="J75" s="2" t="s">
        <v>15</v>
      </c>
      <c r="K75" s="4" t="str" cm="1">
        <f t="array" ref="K75">IF(J75&lt;&gt;"Sim","",IF(MOD(COUNTIF($J$4:J75,"Sim"),2)&lt;&gt;0,"",IF(COUNTIFS($L$4:L75,L75,$D$4:D75,"&lt;&gt;"&amp;D75)&gt;0,"",IFERROR((G75-_xlfn.XLOOKUP(L75,$L$4:L75,$G$4:G75,"",0,1))/(SUMIFS($E$4:E75,$L$4:L75,L75)-_xlfn.XLOOKUP(L75,$L$4:L75,$E$4:E75,"",0,1)),""))))</f>
        <v/>
      </c>
      <c r="L75" s="2">
        <f>IF(G75="","",IF(J75="Sim",INT((COUNTIF($J$4:J75,"Sim")-1)/2)+1,INT(COUNTIF($J$4:J74,"Sim")/2)+1))</f>
        <v>32</v>
      </c>
      <c r="M75" s="12" t="str" cm="1">
        <f t="array" ref="M75">IF(J75&lt;&gt;"Sim","",IF(MOD(COUNTIF($J$4:J75,"Sim"),2)&lt;&gt;0,"",IFERROR((SUMIFS($F$4:F75,$L$4:L75,L75)-_xlfn.XLOOKUP(L75,$L$4:L75,$F$4:F75,"",0,1))/(G75-_xlfn.XLOOKUP(L75,$L$4:L75,$G$4:G75,"",0,1)),"")))</f>
        <v/>
      </c>
    </row>
    <row r="76" spans="2:13" x14ac:dyDescent="0.35">
      <c r="B76" s="10">
        <v>47066</v>
      </c>
      <c r="C76" s="3" t="s">
        <v>24</v>
      </c>
      <c r="D76" s="2" t="s">
        <v>10</v>
      </c>
      <c r="E76" s="4">
        <v>15</v>
      </c>
      <c r="F76" s="20">
        <v>72</v>
      </c>
      <c r="G76" s="6">
        <v>73379</v>
      </c>
      <c r="H76" s="7">
        <f>IFERROR(Tabela1[[#This Row],[Valor]]/Tabela1[[#This Row],[Litros]],"")</f>
        <v>4.8</v>
      </c>
      <c r="I76" s="2">
        <f>IF(Tabela1[[#This Row],[Km Atual]]="","",IFERROR(Tabela1[[#This Row],[Km Atual]]-G75,""))</f>
        <v>210</v>
      </c>
      <c r="J76" s="2" t="s">
        <v>15</v>
      </c>
      <c r="K76" s="4" t="str" cm="1">
        <f t="array" ref="K76">IF(J76&lt;&gt;"Sim","",IF(MOD(COUNTIF($J$4:J76,"Sim"),2)&lt;&gt;0,"",IF(COUNTIFS($L$4:L76,L76,$D$4:D76,"&lt;&gt;"&amp;D76)&gt;0,"",IFERROR((G76-_xlfn.XLOOKUP(L76,$L$4:L76,$G$4:G76,"",0,1))/(SUMIFS($E$4:E76,$L$4:L76,L76)-_xlfn.XLOOKUP(L76,$L$4:L76,$E$4:E76,"",0,1)),""))))</f>
        <v/>
      </c>
      <c r="L76" s="2">
        <f>IF(G76="","",IF(J76="Sim",INT((COUNTIF($J$4:J76,"Sim")-1)/2)+1,INT(COUNTIF($J$4:J75,"Sim")/2)+1))</f>
        <v>32</v>
      </c>
      <c r="M76" s="12" cm="1">
        <f t="array" ref="M76">IF(J76&lt;&gt;"Sim","",IF(MOD(COUNTIF($J$4:J76,"Sim"),2)&lt;&gt;0,"",IFERROR((SUMIFS($F$4:F76,$L$4:L76,L76)-_xlfn.XLOOKUP(L76,$L$4:L76,$F$4:F76,"",0,1))/(G76-_xlfn.XLOOKUP(L76,$L$4:L76,$G$4:G76,"",0,1)),"")))</f>
        <v>0.34285714285714286</v>
      </c>
    </row>
    <row r="77" spans="2:13" x14ac:dyDescent="0.35">
      <c r="B77" s="10">
        <v>47080</v>
      </c>
      <c r="C77" s="3" t="s">
        <v>24</v>
      </c>
      <c r="D77" s="2" t="s">
        <v>10</v>
      </c>
      <c r="E77" s="4">
        <v>14.5</v>
      </c>
      <c r="F77" s="20">
        <v>69.599999999999994</v>
      </c>
      <c r="G77" s="6">
        <v>73582</v>
      </c>
      <c r="H77" s="7">
        <f>IFERROR(Tabela1[[#This Row],[Valor]]/Tabela1[[#This Row],[Litros]],"")</f>
        <v>4.8</v>
      </c>
      <c r="I77" s="2">
        <f>IF(Tabela1[[#This Row],[Km Atual]]="","",IFERROR(Tabela1[[#This Row],[Km Atual]]-G76,""))</f>
        <v>203</v>
      </c>
      <c r="J77" s="2" t="s">
        <v>15</v>
      </c>
      <c r="K77" s="4" t="str" cm="1">
        <f t="array" ref="K77">IF(J77&lt;&gt;"Sim","",IF(MOD(COUNTIF($J$4:J77,"Sim"),2)&lt;&gt;0,"",IF(COUNTIFS($L$4:L77,L77,$D$4:D77,"&lt;&gt;"&amp;D77)&gt;0,"",IFERROR((G77-_xlfn.XLOOKUP(L77,$L$4:L77,$G$4:G77,"",0,1))/(SUMIFS($E$4:E77,$L$4:L77,L77)-_xlfn.XLOOKUP(L77,$L$4:L77,$E$4:E77,"",0,1)),""))))</f>
        <v/>
      </c>
      <c r="L77" s="2">
        <f>IF(G77="","",IF(J77="Sim",INT((COUNTIF($J$4:J77,"Sim")-1)/2)+1,INT(COUNTIF($J$4:J76,"Sim")/2)+1))</f>
        <v>33</v>
      </c>
      <c r="M77" s="12" t="str" cm="1">
        <f t="array" ref="M77">IF(J77&lt;&gt;"Sim","",IF(MOD(COUNTIF($J$4:J77,"Sim"),2)&lt;&gt;0,"",IFERROR((SUMIFS($F$4:F77,$L$4:L77,L77)-_xlfn.XLOOKUP(L77,$L$4:L77,$F$4:F77,"",0,1))/(G77-_xlfn.XLOOKUP(L77,$L$4:L77,$G$4:G77,"",0,1)),"")))</f>
        <v/>
      </c>
    </row>
    <row r="78" spans="2:13" x14ac:dyDescent="0.35">
      <c r="B78" s="10">
        <v>47094</v>
      </c>
      <c r="C78" s="3" t="s">
        <v>19</v>
      </c>
      <c r="D78" s="2" t="s">
        <v>7</v>
      </c>
      <c r="E78" s="4">
        <v>10</v>
      </c>
      <c r="F78" s="20">
        <v>60</v>
      </c>
      <c r="G78" s="6">
        <v>73702</v>
      </c>
      <c r="H78" s="7">
        <f>IFERROR(Tabela1[[#This Row],[Valor]]/Tabela1[[#This Row],[Litros]],"")</f>
        <v>6</v>
      </c>
      <c r="I78" s="2">
        <f>IF(Tabela1[[#This Row],[Km Atual]]="","",IFERROR(Tabela1[[#This Row],[Km Atual]]-G77,""))</f>
        <v>120</v>
      </c>
      <c r="J78" s="2" t="s">
        <v>16</v>
      </c>
      <c r="K78" s="4" t="str" cm="1">
        <f t="array" ref="K78">IF(J78&lt;&gt;"Sim","",IF(MOD(COUNTIF($J$4:J78,"Sim"),2)&lt;&gt;0,"",IF(COUNTIFS($L$4:L78,L78,$D$4:D78,"&lt;&gt;"&amp;D78)&gt;0,"",IFERROR((G78-_xlfn.XLOOKUP(L78,$L$4:L78,$G$4:G78,"",0,1))/(SUMIFS($E$4:E78,$L$4:L78,L78)-_xlfn.XLOOKUP(L78,$L$4:L78,$E$4:E78,"",0,1)),""))))</f>
        <v/>
      </c>
      <c r="L78" s="2">
        <f>IF(G78="","",IF(J78="Sim",INT((COUNTIF($J$4:J78,"Sim")-1)/2)+1,INT(COUNTIF($J$4:J77,"Sim")/2)+1))</f>
        <v>33</v>
      </c>
      <c r="M78" s="12" t="str" cm="1">
        <f t="array" ref="M78">IF(J78&lt;&gt;"Sim","",IF(MOD(COUNTIF($J$4:J78,"Sim"),2)&lt;&gt;0,"",IFERROR((SUMIFS($F$4:F78,$L$4:L78,L78)-_xlfn.XLOOKUP(L78,$L$4:L78,$F$4:F78,"",0,1))/(G78-_xlfn.XLOOKUP(L78,$L$4:L78,$G$4:G78,"",0,1)),"")))</f>
        <v/>
      </c>
    </row>
    <row r="79" spans="2:13" x14ac:dyDescent="0.35">
      <c r="B79" s="10">
        <v>47108</v>
      </c>
      <c r="C79" s="3" t="s">
        <v>21</v>
      </c>
      <c r="D79" s="2" t="s">
        <v>8</v>
      </c>
      <c r="E79" s="4">
        <v>43</v>
      </c>
      <c r="F79" s="20">
        <v>176.3</v>
      </c>
      <c r="G79" s="6">
        <v>74132</v>
      </c>
      <c r="H79" s="7">
        <f>IFERROR(Tabela1[[#This Row],[Valor]]/Tabela1[[#This Row],[Litros]],"")</f>
        <v>4.1000000000000005</v>
      </c>
      <c r="I79" s="2">
        <f>IF(Tabela1[[#This Row],[Km Atual]]="","",IFERROR(Tabela1[[#This Row],[Km Atual]]-G78,""))</f>
        <v>430</v>
      </c>
      <c r="J79" s="2" t="s">
        <v>15</v>
      </c>
      <c r="K79" s="4" t="str" cm="1">
        <f t="array" ref="K79">IF(J79&lt;&gt;"Sim","",IF(MOD(COUNTIF($J$4:J79,"Sim"),2)&lt;&gt;0,"",IF(COUNTIFS($L$4:L79,L79,$D$4:D79,"&lt;&gt;"&amp;D79)&gt;0,"",IFERROR((G79-_xlfn.XLOOKUP(L79,$L$4:L79,$G$4:G79,"",0,1))/(SUMIFS($E$4:E79,$L$4:L79,L79)-_xlfn.XLOOKUP(L79,$L$4:L79,$E$4:E79,"",0,1)),""))))</f>
        <v/>
      </c>
      <c r="L79" s="2">
        <f>IF(G79="","",IF(J79="Sim",INT((COUNTIF($J$4:J79,"Sim")-1)/2)+1,INT(COUNTIF($J$4:J78,"Sim")/2)+1))</f>
        <v>33</v>
      </c>
      <c r="M79" s="12" cm="1">
        <f t="array" ref="M79">IF(J79&lt;&gt;"Sim","",IF(MOD(COUNTIF($J$4:J79,"Sim"),2)&lt;&gt;0,"",IFERROR((SUMIFS($F$4:F79,$L$4:L79,L79)-_xlfn.XLOOKUP(L79,$L$4:L79,$F$4:F79,"",0,1))/(G79-_xlfn.XLOOKUP(L79,$L$4:L79,$G$4:G79,"",0,1)),"")))</f>
        <v>0.42963636363636359</v>
      </c>
    </row>
    <row r="80" spans="2:13" x14ac:dyDescent="0.35">
      <c r="B80" s="10"/>
      <c r="C80" s="3"/>
      <c r="D80" s="2"/>
      <c r="E80" s="4"/>
      <c r="F80" s="5"/>
      <c r="G80" s="6"/>
      <c r="H80" s="7" t="str">
        <f>IFERROR(Tabela1[[#This Row],[Valor]]/Tabela1[[#This Row],[Litros]],"")</f>
        <v/>
      </c>
      <c r="I80" s="2" t="str">
        <f>IF(Tabela1[[#This Row],[Km Atual]]="","",IFERROR(Tabela1[[#This Row],[Km Atual]]-G79,""))</f>
        <v/>
      </c>
      <c r="J80" s="2"/>
      <c r="K80" s="4" t="str" cm="1">
        <f t="array" ref="K80">IF(J80&lt;&gt;"Sim","",IF(MOD(COUNTIF($J$4:J80,"Sim"),2)&lt;&gt;0,"",IF(COUNTIFS($L$4:L80,L80,$D$4:D80,"&lt;&gt;"&amp;D80)&gt;0,"",IFERROR((G80-_xlfn.XLOOKUP(L80,$L$4:L80,$G$4:G80,"",0,1))/(SUMIFS($E$4:E80,$L$4:L80,L80)-_xlfn.XLOOKUP(L80,$L$4:L80,$E$4:E80,"",0,1)),""))))</f>
        <v/>
      </c>
      <c r="L80" s="2" t="str">
        <f>IF(G80="","",IF(J80="Sim",INT((COUNTIF($J$4:J80,"Sim")-1)/2)+1,INT(COUNTIF($J$4:J79,"Sim")/2)+1))</f>
        <v/>
      </c>
      <c r="M80" s="12" t="str" cm="1">
        <f t="array" ref="M80">IF(J80&lt;&gt;"Sim","",IF(MOD(COUNTIF($J$4:J80,"Sim"),2)&lt;&gt;0,"",IFERROR((SUMIFS($F$4:F80,$L$4:L80,L80)-_xlfn.XLOOKUP(L80,$L$4:L80,$F$4:F80,"",0,1))/(G80-_xlfn.XLOOKUP(L80,$L$4:L80,$G$4:G80,"",0,1)),"")))</f>
        <v/>
      </c>
    </row>
    <row r="81" spans="2:13" x14ac:dyDescent="0.35">
      <c r="B81" s="10"/>
      <c r="C81" s="3"/>
      <c r="D81" s="2"/>
      <c r="E81" s="4"/>
      <c r="F81" s="5"/>
      <c r="G81" s="6"/>
      <c r="H81" s="7" t="str">
        <f>IFERROR(Tabela1[[#This Row],[Valor]]/Tabela1[[#This Row],[Litros]],"")</f>
        <v/>
      </c>
      <c r="I81" s="2" t="str">
        <f>IF(Tabela1[[#This Row],[Km Atual]]="","",IFERROR(Tabela1[[#This Row],[Km Atual]]-G80,""))</f>
        <v/>
      </c>
      <c r="J81" s="2"/>
      <c r="K81" s="4" t="str" cm="1">
        <f t="array" ref="K81">IF(J81&lt;&gt;"Sim","",IF(MOD(COUNTIF($J$4:J81,"Sim"),2)&lt;&gt;0,"",IF(COUNTIFS($L$4:L81,L81,$D$4:D81,"&lt;&gt;"&amp;D81)&gt;0,"",IFERROR((G81-_xlfn.XLOOKUP(L81,$L$4:L81,$G$4:G81,"",0,1))/(SUMIFS($E$4:E81,$L$4:L81,L81)-_xlfn.XLOOKUP(L81,$L$4:L81,$E$4:E81,"",0,1)),""))))</f>
        <v/>
      </c>
      <c r="L81" s="2" t="str">
        <f>IF(G81="","",IF(J81="Sim",INT((COUNTIF($J$4:J81,"Sim")-1)/2)+1,INT(COUNTIF($J$4:J80,"Sim")/2)+1))</f>
        <v/>
      </c>
      <c r="M81" s="12" t="str" cm="1">
        <f t="array" ref="M81">IF(J81&lt;&gt;"Sim","",IF(MOD(COUNTIF($J$4:J81,"Sim"),2)&lt;&gt;0,"",IFERROR((SUMIFS($F$4:F81,$L$4:L81,L81)-_xlfn.XLOOKUP(L81,$L$4:L81,$F$4:F81,"",0,1))/(G81-_xlfn.XLOOKUP(L81,$L$4:L81,$G$4:G81,"",0,1)),"")))</f>
        <v/>
      </c>
    </row>
    <row r="82" spans="2:13" x14ac:dyDescent="0.35">
      <c r="B82" s="10"/>
      <c r="C82" s="3"/>
      <c r="D82" s="2"/>
      <c r="E82" s="4"/>
      <c r="F82" s="5"/>
      <c r="G82" s="6"/>
      <c r="H82" s="7" t="str">
        <f>IFERROR(Tabela1[[#This Row],[Valor]]/Tabela1[[#This Row],[Litros]],"")</f>
        <v/>
      </c>
      <c r="I82" s="2" t="str">
        <f>IF(Tabela1[[#This Row],[Km Atual]]="","",IFERROR(Tabela1[[#This Row],[Km Atual]]-G81,""))</f>
        <v/>
      </c>
      <c r="J82" s="2"/>
      <c r="K82" s="4" t="str" cm="1">
        <f t="array" ref="K82">IF(J82&lt;&gt;"Sim","",IF(MOD(COUNTIF($J$4:J82,"Sim"),2)&lt;&gt;0,"",IF(COUNTIFS($L$4:L82,L82,$D$4:D82,"&lt;&gt;"&amp;D82)&gt;0,"",IFERROR((G82-_xlfn.XLOOKUP(L82,$L$4:L82,$G$4:G82,"",0,1))/(SUMIFS($E$4:E82,$L$4:L82,L82)-_xlfn.XLOOKUP(L82,$L$4:L82,$E$4:E82,"",0,1)),""))))</f>
        <v/>
      </c>
      <c r="L82" s="2" t="str">
        <f>IF(G82="","",IF(J82="Sim",INT((COUNTIF($J$4:J82,"Sim")-1)/2)+1,INT(COUNTIF($J$4:J81,"Sim")/2)+1))</f>
        <v/>
      </c>
      <c r="M82" s="12" t="str" cm="1">
        <f t="array" ref="M82">IF(J82&lt;&gt;"Sim","",IF(MOD(COUNTIF($J$4:J82,"Sim"),2)&lt;&gt;0,"",IFERROR((SUMIFS($F$4:F82,$L$4:L82,L82)-_xlfn.XLOOKUP(L82,$L$4:L82,$F$4:F82,"",0,1))/(G82-_xlfn.XLOOKUP(L82,$L$4:L82,$G$4:G82,"",0,1)),"")))</f>
        <v/>
      </c>
    </row>
    <row r="83" spans="2:13" x14ac:dyDescent="0.35">
      <c r="B83" s="10"/>
      <c r="C83" s="3"/>
      <c r="D83" s="2"/>
      <c r="E83" s="4"/>
      <c r="F83" s="5"/>
      <c r="G83" s="6"/>
      <c r="H83" s="7" t="str">
        <f>IFERROR(Tabela1[[#This Row],[Valor]]/Tabela1[[#This Row],[Litros]],"")</f>
        <v/>
      </c>
      <c r="I83" s="2" t="str">
        <f>IF(Tabela1[[#This Row],[Km Atual]]="","",IFERROR(Tabela1[[#This Row],[Km Atual]]-G82,""))</f>
        <v/>
      </c>
      <c r="J83" s="2"/>
      <c r="K83" s="4" t="str" cm="1">
        <f t="array" ref="K83">IF(J83&lt;&gt;"Sim","",IF(MOD(COUNTIF($J$4:J83,"Sim"),2)&lt;&gt;0,"",IF(COUNTIFS($L$4:L83,L83,$D$4:D83,"&lt;&gt;"&amp;D83)&gt;0,"",IFERROR((G83-_xlfn.XLOOKUP(L83,$L$4:L83,$G$4:G83,"",0,1))/(SUMIFS($E$4:E83,$L$4:L83,L83)-_xlfn.XLOOKUP(L83,$L$4:L83,$E$4:E83,"",0,1)),""))))</f>
        <v/>
      </c>
      <c r="L83" s="2" t="str">
        <f>IF(G83="","",IF(J83="Sim",INT((COUNTIF($J$4:J83,"Sim")-1)/2)+1,INT(COUNTIF($J$4:J82,"Sim")/2)+1))</f>
        <v/>
      </c>
      <c r="M83" s="12" t="str" cm="1">
        <f t="array" ref="M83">IF(J83&lt;&gt;"Sim","",IF(MOD(COUNTIF($J$4:J83,"Sim"),2)&lt;&gt;0,"",IFERROR((SUMIFS($F$4:F83,$L$4:L83,L83)-_xlfn.XLOOKUP(L83,$L$4:L83,$F$4:F83,"",0,1))/(G83-_xlfn.XLOOKUP(L83,$L$4:L83,$G$4:G83,"",0,1)),"")))</f>
        <v/>
      </c>
    </row>
    <row r="84" spans="2:13" x14ac:dyDescent="0.35">
      <c r="B84" s="10"/>
      <c r="C84" s="3"/>
      <c r="D84" s="2"/>
      <c r="E84" s="4"/>
      <c r="F84" s="5"/>
      <c r="G84" s="6"/>
      <c r="H84" s="7" t="str">
        <f>IFERROR(Tabela1[[#This Row],[Valor]]/Tabela1[[#This Row],[Litros]],"")</f>
        <v/>
      </c>
      <c r="I84" s="2" t="str">
        <f>IF(Tabela1[[#This Row],[Km Atual]]="","",IFERROR(Tabela1[[#This Row],[Km Atual]]-G83,""))</f>
        <v/>
      </c>
      <c r="J84" s="2"/>
      <c r="K84" s="4" t="str" cm="1">
        <f t="array" ref="K84">IF(J84&lt;&gt;"Sim","",IF(MOD(COUNTIF($J$4:J84,"Sim"),2)&lt;&gt;0,"",IF(COUNTIFS($L$4:L84,L84,$D$4:D84,"&lt;&gt;"&amp;D84)&gt;0,"",IFERROR((G84-_xlfn.XLOOKUP(L84,$L$4:L84,$G$4:G84,"",0,1))/(SUMIFS($E$4:E84,$L$4:L84,L84)-_xlfn.XLOOKUP(L84,$L$4:L84,$E$4:E84,"",0,1)),""))))</f>
        <v/>
      </c>
      <c r="L84" s="2" t="str">
        <f>IF(G84="","",IF(J84="Sim",INT((COUNTIF($J$4:J84,"Sim")-1)/2)+1,INT(COUNTIF($J$4:J83,"Sim")/2)+1))</f>
        <v/>
      </c>
      <c r="M84" s="12" t="str" cm="1">
        <f t="array" ref="M84">IF(J84&lt;&gt;"Sim","",IF(MOD(COUNTIF($J$4:J84,"Sim"),2)&lt;&gt;0,"",IFERROR((SUMIFS($F$4:F84,$L$4:L84,L84)-_xlfn.XLOOKUP(L84,$L$4:L84,$F$4:F84,"",0,1))/(G84-_xlfn.XLOOKUP(L84,$L$4:L84,$G$4:G84,"",0,1)),"")))</f>
        <v/>
      </c>
    </row>
    <row r="85" spans="2:13" x14ac:dyDescent="0.35">
      <c r="B85" s="10"/>
      <c r="C85" s="3"/>
      <c r="D85" s="2"/>
      <c r="E85" s="4"/>
      <c r="F85" s="5"/>
      <c r="G85" s="6"/>
      <c r="H85" s="7" t="str">
        <f>IFERROR(Tabela1[[#This Row],[Valor]]/Tabela1[[#This Row],[Litros]],"")</f>
        <v/>
      </c>
      <c r="I85" s="2" t="str">
        <f>IF(Tabela1[[#This Row],[Km Atual]]="","",IFERROR(Tabela1[[#This Row],[Km Atual]]-G84,""))</f>
        <v/>
      </c>
      <c r="J85" s="2"/>
      <c r="K85" s="4" t="str" cm="1">
        <f t="array" ref="K85">IF(J85&lt;&gt;"Sim","",IF(MOD(COUNTIF($J$4:J85,"Sim"),2)&lt;&gt;0,"",IF(COUNTIFS($L$4:L85,L85,$D$4:D85,"&lt;&gt;"&amp;D85)&gt;0,"",IFERROR((G85-_xlfn.XLOOKUP(L85,$L$4:L85,$G$4:G85,"",0,1))/(SUMIFS($E$4:E85,$L$4:L85,L85)-_xlfn.XLOOKUP(L85,$L$4:L85,$E$4:E85,"",0,1)),""))))</f>
        <v/>
      </c>
      <c r="L85" s="2" t="str">
        <f>IF(G85="","",IF(J85="Sim",INT((COUNTIF($J$4:J85,"Sim")-1)/2)+1,INT(COUNTIF($J$4:J84,"Sim")/2)+1))</f>
        <v/>
      </c>
      <c r="M85" s="12" t="str" cm="1">
        <f t="array" ref="M85">IF(J85&lt;&gt;"Sim","",IF(MOD(COUNTIF($J$4:J85,"Sim"),2)&lt;&gt;0,"",IFERROR((SUMIFS($F$4:F85,$L$4:L85,L85)-_xlfn.XLOOKUP(L85,$L$4:L85,$F$4:F85,"",0,1))/(G85-_xlfn.XLOOKUP(L85,$L$4:L85,$G$4:G85,"",0,1)),"")))</f>
        <v/>
      </c>
    </row>
    <row r="86" spans="2:13" x14ac:dyDescent="0.35">
      <c r="B86" s="14"/>
      <c r="C86" s="15"/>
      <c r="D86" s="16"/>
      <c r="E86" s="17"/>
      <c r="F86" s="19"/>
      <c r="G86" s="18"/>
      <c r="H86" s="7" t="str">
        <f>IFERROR(Tabela1[[#This Row],[Valor]]/Tabela1[[#This Row],[Litros]],"")</f>
        <v/>
      </c>
      <c r="I86" s="2" t="str">
        <f>IF(Tabela1[[#This Row],[Km Atual]]="","",IFERROR(Tabela1[[#This Row],[Km Atual]]-G85,""))</f>
        <v/>
      </c>
      <c r="J86" s="16"/>
      <c r="K86" s="4" t="str" cm="1">
        <f t="array" ref="K86">IF(J86&lt;&gt;"Sim","",IF(MOD(COUNTIF($J$4:J86,"Sim"),2)&lt;&gt;0,"",IF(COUNTIFS($L$4:L86,L86,$D$4:D86,"&lt;&gt;"&amp;D86)&gt;0,"",IFERROR((G86-_xlfn.XLOOKUP(L86,$L$4:L86,$G$4:G86,"",0,1))/(SUMIFS($E$4:E86,$L$4:L86,L86)-_xlfn.XLOOKUP(L86,$L$4:L86,$E$4:E86,"",0,1)),""))))</f>
        <v/>
      </c>
      <c r="L86" s="2" t="str">
        <f>IF(G86="","",IF(J86="Sim",INT((COUNTIF($J$4:J86,"Sim")-1)/2)+1,INT(COUNTIF($J$4:J85,"Sim")/2)+1))</f>
        <v/>
      </c>
      <c r="M86" s="12" t="str" cm="1">
        <f t="array" ref="M86">IF(J86&lt;&gt;"Sim","",IF(MOD(COUNTIF($J$4:J86,"Sim"),2)&lt;&gt;0,"",IFERROR((SUMIFS($F$4:F86,$L$4:L86,L86)-_xlfn.XLOOKUP(L86,$L$4:L86,$F$4:F86,"",0,1))/(G86-_xlfn.XLOOKUP(L86,$L$4:L86,$G$4:G86,"",0,1)),"")))</f>
        <v/>
      </c>
    </row>
  </sheetData>
  <mergeCells count="1">
    <mergeCell ref="B2:M2"/>
  </mergeCells>
  <phoneticPr fontId="3" type="noConversion"/>
  <dataValidations count="3">
    <dataValidation type="date" operator="greaterThan" allowBlank="1" showInputMessage="1" showErrorMessage="1" sqref="B4:B9 B11:B17" xr:uid="{6B97AD46-F6DD-429C-BC76-B71EF9E23915}">
      <formula1>46023</formula1>
    </dataValidation>
    <dataValidation type="decimal" operator="greaterThan" allowBlank="1" showInputMessage="1" showErrorMessage="1" sqref="E4:F86" xr:uid="{F3888669-518B-4CA8-95ED-B5508A726DE5}">
      <formula1>0</formula1>
    </dataValidation>
    <dataValidation type="whole" operator="greaterThan" allowBlank="1" showInputMessage="1" showErrorMessage="1" sqref="G4:G86" xr:uid="{40EEC234-EB05-4278-A1F9-D263D9C5EC68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4:I86" calculatedColumn="1"/>
    <ignoredError sqref="K5:K86 M5:M86" formulaRange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7C8114-7630-436D-8496-E5F85249FC7D}">
          <x14:formula1>
            <xm:f>Auxiliares!$A$2:$A$5</xm:f>
          </x14:formula1>
          <xm:sqref>D4:D86</xm:sqref>
        </x14:dataValidation>
        <x14:dataValidation type="list" allowBlank="1" showInputMessage="1" showErrorMessage="1" xr:uid="{4BC61C97-ECAB-4F21-BCD9-86E6B7742FDC}">
          <x14:formula1>
            <xm:f>Auxiliares!$C$2:$C$3</xm:f>
          </x14:formula1>
          <xm:sqref>J4:J86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64E-7527-44C9-9070-459255DE462E}">
  <dimension ref="A1:C5"/>
  <sheetViews>
    <sheetView workbookViewId="0">
      <selection activeCell="C14" sqref="C14"/>
    </sheetView>
  </sheetViews>
  <sheetFormatPr defaultRowHeight="14.5" x14ac:dyDescent="0.35"/>
  <cols>
    <col min="1" max="1" width="12" bestFit="1" customWidth="1"/>
    <col min="3" max="3" width="13.453125" bestFit="1" customWidth="1"/>
  </cols>
  <sheetData>
    <row r="1" spans="1:3" x14ac:dyDescent="0.35">
      <c r="A1" s="1" t="s">
        <v>2</v>
      </c>
      <c r="C1" s="11" t="s">
        <v>13</v>
      </c>
    </row>
    <row r="2" spans="1:3" x14ac:dyDescent="0.35">
      <c r="A2" s="2" t="s">
        <v>7</v>
      </c>
      <c r="C2" s="2" t="s">
        <v>15</v>
      </c>
    </row>
    <row r="3" spans="1:3" x14ac:dyDescent="0.35">
      <c r="A3" s="2" t="s">
        <v>8</v>
      </c>
      <c r="C3" s="2" t="s">
        <v>16</v>
      </c>
    </row>
    <row r="4" spans="1:3" x14ac:dyDescent="0.35">
      <c r="A4" s="2" t="s">
        <v>9</v>
      </c>
    </row>
    <row r="5" spans="1:3" x14ac:dyDescent="0.35">
      <c r="A5" s="2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e60e107e-c5ab-43a9-a367-c2c0414a0fc8}" enabled="0" method="" siteId="{e60e107e-c5ab-43a9-a367-c2c0414a0f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Abastecimentos</vt:lpstr>
      <vt:lpstr>Auxiliares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Carvalho</dc:creator>
  <cp:lastModifiedBy>Vinicius Carvalho</cp:lastModifiedBy>
  <dcterms:created xsi:type="dcterms:W3CDTF">2026-09-10T19:27:16Z</dcterms:created>
  <dcterms:modified xsi:type="dcterms:W3CDTF">2026-09-29T18:39:05Z</dcterms:modified>
</cp:coreProperties>
</file>